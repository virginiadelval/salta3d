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GEM\DGEM\05_planeamientourbano\COD_Actualizacion_2025\"/>
    </mc:Choice>
  </mc:AlternateContent>
  <bookViews>
    <workbookView xWindow="0" yWindow="0" windowWidth="28800" windowHeight="12210" activeTab="2"/>
  </bookViews>
  <sheets>
    <sheet name="SIMULADOR TPC" sheetId="3" r:id="rId1"/>
    <sheet name="CÁLCULO DE INCIDENCIAS EMISORES" sheetId="1" r:id="rId2"/>
    <sheet name="INCIDENCIAS DISTRITO RECEPTOR" sheetId="2" r:id="rId3"/>
  </sheets>
  <calcPr calcId="162913"/>
</workbook>
</file>

<file path=xl/calcChain.xml><?xml version="1.0" encoding="utf-8"?>
<calcChain xmlns="http://schemas.openxmlformats.org/spreadsheetml/2006/main">
  <c r="F62" i="2" l="1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C15" i="3" s="1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11" i="1"/>
  <c r="E10" i="1"/>
  <c r="E9" i="1"/>
  <c r="E8" i="1"/>
  <c r="E7" i="1"/>
  <c r="E6" i="1"/>
  <c r="C14" i="3" s="1"/>
  <c r="E5" i="1"/>
  <c r="E4" i="1"/>
  <c r="C20" i="3" l="1"/>
  <c r="C25" i="3" s="1"/>
  <c r="C27" i="3" s="1"/>
  <c r="C31" i="3" l="1"/>
  <c r="C35" i="3"/>
  <c r="C34" i="3"/>
</calcChain>
</file>

<file path=xl/sharedStrings.xml><?xml version="1.0" encoding="utf-8"?>
<sst xmlns="http://schemas.openxmlformats.org/spreadsheetml/2006/main" count="52" uniqueCount="43">
  <si>
    <t xml:space="preserve">CALCULO DE INCIDENCIAS POR DISTRITO Y ZONA </t>
  </si>
  <si>
    <t>DISTRITO EMISOR</t>
  </si>
  <si>
    <t>Valor de suelo mín</t>
  </si>
  <si>
    <t>Valor de suelo máx</t>
  </si>
  <si>
    <t>FOT Privado</t>
  </si>
  <si>
    <r>
      <rPr>
        <sz val="9"/>
        <color theme="1"/>
        <rFont val="Manrope"/>
      </rPr>
      <t xml:space="preserve">AC1                                       </t>
    </r>
    <r>
      <rPr>
        <sz val="6"/>
        <color theme="1"/>
        <rFont val="Manrope"/>
      </rPr>
      <t>(Zona 35)</t>
    </r>
  </si>
  <si>
    <t>-</t>
  </si>
  <si>
    <r>
      <rPr>
        <sz val="9"/>
        <color theme="1"/>
        <rFont val="Manrope"/>
      </rPr>
      <t xml:space="preserve">AC1                                       </t>
    </r>
    <r>
      <rPr>
        <sz val="6"/>
        <color theme="1"/>
        <rFont val="Manrope"/>
      </rPr>
      <t>(Zona 20)</t>
    </r>
  </si>
  <si>
    <t>AC2                                      (Zona 35)</t>
  </si>
  <si>
    <r>
      <rPr>
        <sz val="9"/>
        <color theme="1"/>
        <rFont val="Manrope"/>
      </rPr>
      <t xml:space="preserve">AC3                                       </t>
    </r>
    <r>
      <rPr>
        <sz val="6"/>
        <color theme="1"/>
        <rFont val="Manrope"/>
      </rPr>
      <t>(Zona 45 y 46 )</t>
    </r>
  </si>
  <si>
    <r>
      <rPr>
        <sz val="9"/>
        <color theme="1"/>
        <rFont val="Manrope"/>
      </rPr>
      <t xml:space="preserve">AC3                                       </t>
    </r>
    <r>
      <rPr>
        <sz val="6"/>
        <color theme="1"/>
        <rFont val="Manrope"/>
      </rPr>
      <t>(Zona 52)</t>
    </r>
  </si>
  <si>
    <r>
      <rPr>
        <sz val="9"/>
        <color theme="1"/>
        <rFont val="Manrope"/>
      </rPr>
      <t xml:space="preserve">AC3                                       </t>
    </r>
    <r>
      <rPr>
        <sz val="6"/>
        <color theme="1"/>
        <rFont val="Manrope"/>
      </rPr>
      <t>(Zona 53)</t>
    </r>
  </si>
  <si>
    <r>
      <rPr>
        <sz val="9"/>
        <color theme="1"/>
        <rFont val="Manrope"/>
      </rPr>
      <t xml:space="preserve">AC4                                       </t>
    </r>
    <r>
      <rPr>
        <sz val="6"/>
        <color theme="1"/>
        <rFont val="Manrope"/>
      </rPr>
      <t>(Zona 21)</t>
    </r>
  </si>
  <si>
    <r>
      <rPr>
        <sz val="9"/>
        <color theme="1"/>
        <rFont val="Manrope"/>
      </rPr>
      <t xml:space="preserve">AC4                                       </t>
    </r>
    <r>
      <rPr>
        <sz val="6"/>
        <color theme="1"/>
        <rFont val="Manrope"/>
      </rPr>
      <t>(Zona 36)</t>
    </r>
  </si>
  <si>
    <t>INCIDENCIAS DE REFERENCIA PARA  DISTRITOS RECEPTORES</t>
  </si>
  <si>
    <t xml:space="preserve">ZONA </t>
  </si>
  <si>
    <t>Valores del suelo (Decreto 173/25)</t>
  </si>
  <si>
    <t>FOT Privado de referencia</t>
  </si>
  <si>
    <t>Datos públicos</t>
  </si>
  <si>
    <t>DATOS BASE</t>
  </si>
  <si>
    <t>Zona Incidencias de Valores del Suelo</t>
  </si>
  <si>
    <t>EMISOR</t>
  </si>
  <si>
    <t>RECEPTOR</t>
  </si>
  <si>
    <t>1) Superficie emisora (Certificado de Preservación)</t>
  </si>
  <si>
    <t>Superficie emisora total</t>
  </si>
  <si>
    <t>2) Cálculo de incidencia (valor por m² edificable)</t>
  </si>
  <si>
    <t xml:space="preserve">Incidencia emisor </t>
  </si>
  <si>
    <t>Usd/m2</t>
  </si>
  <si>
    <t>Incidencia receptor</t>
  </si>
  <si>
    <t>3) Factor de equivalencia económico (FEE)</t>
  </si>
  <si>
    <t>FEE= Inc emisor/ Inc receptor</t>
  </si>
  <si>
    <t>FEE</t>
  </si>
  <si>
    <t>4) Superficie emisora según superficie receptora requerida</t>
  </si>
  <si>
    <t>Superficie receptora</t>
  </si>
  <si>
    <t>La superficie receptora maxima corresponde a la superficie máxima a edificar por FOT Público  (Sup parcela x FOT Público)</t>
  </si>
  <si>
    <t>Superficie emisora</t>
  </si>
  <si>
    <t>M2  sobrantes en emisor</t>
  </si>
  <si>
    <t>5) Valor económico de la transferencia</t>
  </si>
  <si>
    <t>Valor transacción</t>
  </si>
  <si>
    <t>6) Verificación del Valor económico de la transferencia</t>
  </si>
  <si>
    <t>Valor mín</t>
  </si>
  <si>
    <t>Valor máx</t>
  </si>
  <si>
    <t xml:space="preserve">Incidencia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</si>
</sst>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>
    <font>
      <sz val="10"/>
      <color rgb="FF000000"/>
      <name val="Arial"/>
      <scheme val="minor"/>
    </font>
    <font>
      <b/>
      <sz val="9"/>
      <color theme="1"/>
      <name val="Manrope"/>
    </font>
    <font>
      <sz val="10"/>
      <name val="Arial"/>
    </font>
    <font>
      <sz val="9"/>
      <color theme="1"/>
      <name val="Manrope"/>
    </font>
    <font>
      <sz val="10"/>
      <color theme="1"/>
      <name val="Manrope"/>
    </font>
    <font>
      <b/>
      <sz val="10"/>
      <color theme="1"/>
      <name val="Arial"/>
      <scheme val="minor"/>
    </font>
    <font>
      <b/>
      <sz val="10"/>
      <color theme="1"/>
      <name val="Manrope"/>
    </font>
    <font>
      <sz val="10"/>
      <color theme="1"/>
      <name val="Arial"/>
      <scheme val="minor"/>
    </font>
    <font>
      <sz val="6"/>
      <color theme="1"/>
      <name val="Manrope"/>
    </font>
    <font>
      <sz val="8"/>
      <color theme="1"/>
      <name val="Manrope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" fontId="6" fillId="2" borderId="13" xfId="0" applyNumberFormat="1" applyFont="1" applyFill="1" applyBorder="1" applyAlignment="1">
      <alignment horizontal="center"/>
    </xf>
    <xf numFmtId="10" fontId="7" fillId="0" borderId="0" xfId="0" applyNumberFormat="1" applyFont="1"/>
    <xf numFmtId="0" fontId="3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7" fillId="3" borderId="0" xfId="0" applyFont="1" applyFill="1"/>
    <xf numFmtId="0" fontId="4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/>
    </xf>
    <xf numFmtId="0" fontId="7" fillId="0" borderId="0" xfId="0" applyFont="1" applyAlignment="1"/>
    <xf numFmtId="0" fontId="4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6" fillId="2" borderId="17" xfId="0" applyNumberFormat="1" applyFont="1" applyFill="1" applyBorder="1" applyAlignment="1">
      <alignment horizontal="center"/>
    </xf>
    <xf numFmtId="0" fontId="6" fillId="0" borderId="0" xfId="0" applyFont="1" applyAlignment="1"/>
    <xf numFmtId="0" fontId="6" fillId="4" borderId="0" xfId="0" applyFont="1" applyFill="1" applyAlignment="1"/>
    <xf numFmtId="0" fontId="6" fillId="0" borderId="0" xfId="0" applyFont="1" applyAlignment="1">
      <alignment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1" fontId="4" fillId="0" borderId="0" xfId="0" applyNumberFormat="1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1" fontId="4" fillId="0" borderId="1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2" fontId="4" fillId="0" borderId="18" xfId="0" applyNumberFormat="1" applyFont="1" applyBorder="1" applyAlignment="1">
      <alignment horizontal="center" vertical="center" wrapText="1"/>
    </xf>
    <xf numFmtId="1" fontId="4" fillId="4" borderId="1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4" borderId="18" xfId="0" applyFont="1" applyFill="1" applyBorder="1" applyAlignment="1">
      <alignment horizontal="center" wrapText="1"/>
    </xf>
    <xf numFmtId="1" fontId="6" fillId="4" borderId="18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18" xfId="0" applyFont="1" applyBorder="1" applyAlignment="1">
      <alignment horizontal="center" vertical="center" wrapText="1"/>
    </xf>
    <xf numFmtId="4" fontId="6" fillId="0" borderId="18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right"/>
    </xf>
    <xf numFmtId="4" fontId="4" fillId="4" borderId="18" xfId="0" applyNumberFormat="1" applyFont="1" applyFill="1" applyBorder="1" applyAlignment="1">
      <alignment horizontal="center" vertical="center"/>
    </xf>
    <xf numFmtId="0" fontId="6" fillId="0" borderId="7" xfId="0" applyFont="1" applyBorder="1" applyAlignment="1"/>
    <xf numFmtId="0" fontId="2" fillId="0" borderId="8" xfId="0" applyFont="1" applyBorder="1"/>
    <xf numFmtId="0" fontId="2" fillId="0" borderId="9" xfId="0" applyFont="1" applyBorder="1"/>
    <xf numFmtId="0" fontId="6" fillId="0" borderId="7" xfId="0" applyFont="1" applyBorder="1" applyAlignment="1">
      <alignment horizontal="center"/>
    </xf>
    <xf numFmtId="0" fontId="6" fillId="0" borderId="19" xfId="0" applyFont="1" applyBorder="1" applyAlignment="1"/>
    <xf numFmtId="0" fontId="2" fillId="0" borderId="20" xfId="0" applyFont="1" applyBorder="1"/>
    <xf numFmtId="0" fontId="2" fillId="0" borderId="21" xfId="0" applyFont="1" applyBorder="1"/>
    <xf numFmtId="0" fontId="4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9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1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3" fillId="0" borderId="7" xfId="0" applyFont="1" applyBorder="1" applyAlignment="1">
      <alignment horizont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5"/>
  <sheetViews>
    <sheetView topLeftCell="A7" workbookViewId="0">
      <selection activeCell="B35" sqref="B35"/>
    </sheetView>
  </sheetViews>
  <sheetFormatPr baseColWidth="10" defaultColWidth="12.5703125" defaultRowHeight="15.75" customHeight="1"/>
  <cols>
    <col min="1" max="1" width="3.7109375" customWidth="1"/>
    <col min="2" max="2" width="33.28515625" customWidth="1"/>
    <col min="3" max="3" width="18.7109375" customWidth="1"/>
    <col min="4" max="4" width="9.7109375" customWidth="1"/>
    <col min="5" max="5" width="8.28515625" customWidth="1"/>
    <col min="6" max="6" width="8.42578125" customWidth="1"/>
    <col min="7" max="7" width="10.42578125" customWidth="1"/>
    <col min="8" max="8" width="19" customWidth="1"/>
  </cols>
  <sheetData>
    <row r="1" spans="1:10" ht="15.75" customHeight="1">
      <c r="A1" s="40"/>
      <c r="B1" s="41"/>
      <c r="C1" s="42" t="s">
        <v>18</v>
      </c>
      <c r="D1" s="42"/>
      <c r="E1" s="43"/>
      <c r="F1" s="43"/>
      <c r="G1" s="43"/>
      <c r="H1" s="43"/>
      <c r="I1" s="43"/>
      <c r="J1" s="43"/>
    </row>
    <row r="2" spans="1:10" ht="15.75" customHeight="1">
      <c r="A2" s="40"/>
      <c r="B2" s="40"/>
      <c r="C2" s="42"/>
      <c r="D2" s="42"/>
      <c r="E2" s="43"/>
      <c r="F2" s="43"/>
      <c r="G2" s="43"/>
      <c r="H2" s="43"/>
      <c r="I2" s="43"/>
      <c r="J2" s="43"/>
    </row>
    <row r="3" spans="1:10" ht="15.75" customHeight="1">
      <c r="A3" s="44"/>
      <c r="B3" s="75" t="s">
        <v>19</v>
      </c>
      <c r="C3" s="74"/>
      <c r="D3" s="43"/>
      <c r="E3" s="43"/>
      <c r="F3" s="43"/>
      <c r="G3" s="43"/>
      <c r="H3" s="43"/>
      <c r="I3" s="43"/>
      <c r="J3" s="43"/>
    </row>
    <row r="4" spans="1:10" ht="15.75" customHeight="1">
      <c r="A4" s="45"/>
      <c r="B4" s="46"/>
      <c r="C4" s="47" t="s">
        <v>20</v>
      </c>
      <c r="D4" s="43"/>
      <c r="E4" s="43"/>
      <c r="F4" s="43"/>
      <c r="G4" s="43"/>
      <c r="H4" s="43"/>
      <c r="I4" s="43"/>
      <c r="J4" s="43"/>
    </row>
    <row r="5" spans="1:10" ht="15.75" customHeight="1">
      <c r="A5" s="45"/>
      <c r="B5" s="46" t="s">
        <v>21</v>
      </c>
      <c r="C5" s="48">
        <v>35</v>
      </c>
      <c r="D5" s="43"/>
      <c r="E5" s="43"/>
      <c r="F5" s="43"/>
      <c r="G5" s="43"/>
      <c r="H5" s="43"/>
      <c r="I5" s="43"/>
      <c r="J5" s="43"/>
    </row>
    <row r="6" spans="1:10" ht="15.75" customHeight="1">
      <c r="A6" s="45"/>
      <c r="B6" s="46" t="s">
        <v>22</v>
      </c>
      <c r="C6" s="48">
        <v>32</v>
      </c>
      <c r="D6" s="43"/>
      <c r="E6" s="43"/>
      <c r="F6" s="43"/>
      <c r="G6" s="43"/>
      <c r="H6" s="43"/>
      <c r="I6" s="43"/>
      <c r="J6" s="43"/>
    </row>
    <row r="7" spans="1:10" ht="15.75" customHeight="1">
      <c r="A7" s="49"/>
      <c r="B7" s="49"/>
      <c r="C7" s="50"/>
      <c r="D7" s="50"/>
      <c r="E7" s="43"/>
      <c r="F7" s="43"/>
      <c r="G7" s="43"/>
      <c r="H7" s="43"/>
      <c r="I7" s="43"/>
      <c r="J7" s="43"/>
    </row>
    <row r="8" spans="1:10" ht="15.75" customHeight="1">
      <c r="A8" s="40"/>
      <c r="B8" s="72" t="s">
        <v>23</v>
      </c>
      <c r="C8" s="73"/>
      <c r="D8" s="73"/>
      <c r="E8" s="73"/>
      <c r="F8" s="73"/>
      <c r="G8" s="73"/>
      <c r="H8" s="74"/>
      <c r="I8" s="43"/>
      <c r="J8" s="43"/>
    </row>
    <row r="9" spans="1:10" ht="15.75" customHeight="1">
      <c r="A9" s="51"/>
      <c r="B9" s="51"/>
      <c r="C9" s="51"/>
      <c r="D9" s="51"/>
      <c r="E9" s="43"/>
      <c r="F9" s="43"/>
      <c r="G9" s="43"/>
      <c r="H9" s="43"/>
      <c r="I9" s="43"/>
      <c r="J9" s="43"/>
    </row>
    <row r="10" spans="1:10" ht="36.75" customHeight="1">
      <c r="A10" s="52"/>
      <c r="B10" s="53" t="s">
        <v>24</v>
      </c>
      <c r="C10" s="53">
        <v>2000</v>
      </c>
      <c r="D10" s="54"/>
      <c r="E10" s="43"/>
      <c r="F10" s="43"/>
      <c r="G10" s="43"/>
      <c r="H10" s="43"/>
      <c r="I10" s="43"/>
      <c r="J10" s="43"/>
    </row>
    <row r="11" spans="1:10" ht="15.75" customHeight="1">
      <c r="A11" s="43"/>
      <c r="B11" s="43"/>
      <c r="C11" s="51"/>
      <c r="D11" s="51"/>
      <c r="E11" s="43"/>
      <c r="F11" s="43"/>
      <c r="G11" s="43"/>
      <c r="H11" s="43"/>
      <c r="I11" s="43"/>
      <c r="J11" s="43"/>
    </row>
    <row r="12" spans="1:10" ht="15.75" customHeight="1">
      <c r="A12" s="40"/>
      <c r="B12" s="72" t="s">
        <v>25</v>
      </c>
      <c r="C12" s="73"/>
      <c r="D12" s="73"/>
      <c r="E12" s="73"/>
      <c r="F12" s="73"/>
      <c r="G12" s="73"/>
      <c r="H12" s="74"/>
      <c r="I12" s="43"/>
      <c r="J12" s="43"/>
    </row>
    <row r="13" spans="1:10" ht="15.75" customHeight="1">
      <c r="A13" s="43"/>
      <c r="B13" s="43"/>
      <c r="C13" s="51"/>
      <c r="D13" s="51"/>
      <c r="E13" s="43"/>
      <c r="F13" s="43"/>
      <c r="G13" s="43"/>
      <c r="H13" s="43"/>
      <c r="I13" s="43"/>
      <c r="J13" s="43"/>
    </row>
    <row r="14" spans="1:10" ht="15.75" customHeight="1">
      <c r="A14" s="55"/>
      <c r="B14" s="56" t="s">
        <v>26</v>
      </c>
      <c r="C14" s="57">
        <f>'CÁLCULO DE INCIDENCIAS EMISORES'!E6</f>
        <v>100</v>
      </c>
      <c r="D14" s="58" t="s">
        <v>27</v>
      </c>
      <c r="E14" s="43"/>
      <c r="F14" s="43"/>
      <c r="G14" s="43"/>
      <c r="H14" s="43"/>
      <c r="I14" s="43"/>
      <c r="J14" s="43"/>
    </row>
    <row r="15" spans="1:10" ht="15.75" customHeight="1">
      <c r="A15" s="55"/>
      <c r="B15" s="56" t="s">
        <v>28</v>
      </c>
      <c r="C15" s="57">
        <f>'INCIDENCIAS DISTRITO RECEPTOR'!F25</f>
        <v>90.909090909090907</v>
      </c>
      <c r="D15" s="58" t="s">
        <v>27</v>
      </c>
      <c r="E15" s="43"/>
      <c r="F15" s="43"/>
      <c r="G15" s="43"/>
      <c r="H15" s="43"/>
      <c r="I15" s="43"/>
      <c r="J15" s="43"/>
    </row>
    <row r="16" spans="1:10" ht="15.75" customHeight="1">
      <c r="A16" s="43"/>
      <c r="B16" s="43"/>
      <c r="C16" s="51"/>
      <c r="D16" s="51"/>
      <c r="E16" s="43"/>
      <c r="F16" s="43"/>
      <c r="G16" s="43"/>
      <c r="H16" s="43"/>
      <c r="I16" s="43"/>
      <c r="J16" s="43"/>
    </row>
    <row r="17" spans="1:10" ht="15.75" customHeight="1">
      <c r="A17" s="40"/>
      <c r="B17" s="76" t="s">
        <v>29</v>
      </c>
      <c r="C17" s="77"/>
      <c r="D17" s="77"/>
      <c r="E17" s="77"/>
      <c r="F17" s="77"/>
      <c r="G17" s="77"/>
      <c r="H17" s="78"/>
      <c r="I17" s="43"/>
      <c r="J17" s="43"/>
    </row>
    <row r="18" spans="1:10" ht="15.75" customHeight="1">
      <c r="A18" s="59"/>
      <c r="B18" s="79" t="s">
        <v>30</v>
      </c>
      <c r="C18" s="80"/>
      <c r="D18" s="80"/>
      <c r="E18" s="80"/>
      <c r="F18" s="80"/>
      <c r="G18" s="80"/>
      <c r="H18" s="81"/>
      <c r="I18" s="43"/>
      <c r="J18" s="43"/>
    </row>
    <row r="19" spans="1:10" ht="15.75" customHeight="1">
      <c r="A19" s="43"/>
      <c r="B19" s="43"/>
      <c r="C19" s="51"/>
      <c r="D19" s="51"/>
      <c r="E19" s="43"/>
      <c r="F19" s="43"/>
      <c r="G19" s="43"/>
      <c r="H19" s="43"/>
      <c r="I19" s="43"/>
      <c r="J19" s="43"/>
    </row>
    <row r="20" spans="1:10" ht="15.75" customHeight="1">
      <c r="A20" s="59"/>
      <c r="B20" s="60" t="s">
        <v>31</v>
      </c>
      <c r="C20" s="61">
        <f>C14/C15</f>
        <v>1.1000000000000001</v>
      </c>
      <c r="D20" s="51"/>
      <c r="E20" s="43"/>
      <c r="F20" s="43"/>
      <c r="G20" s="43"/>
      <c r="H20" s="43"/>
      <c r="I20" s="43"/>
      <c r="J20" s="43"/>
    </row>
    <row r="21" spans="1:10" ht="15.75" customHeight="1">
      <c r="A21" s="43"/>
      <c r="B21" s="43"/>
      <c r="C21" s="51"/>
      <c r="D21" s="51"/>
      <c r="E21" s="43"/>
      <c r="F21" s="43"/>
      <c r="G21" s="43"/>
      <c r="H21" s="43"/>
      <c r="I21" s="43"/>
      <c r="J21" s="43"/>
    </row>
    <row r="22" spans="1:10" ht="15.75" customHeight="1">
      <c r="A22" s="40"/>
      <c r="B22" s="72" t="s">
        <v>32</v>
      </c>
      <c r="C22" s="73"/>
      <c r="D22" s="73"/>
      <c r="E22" s="73"/>
      <c r="F22" s="73"/>
      <c r="G22" s="73"/>
      <c r="H22" s="74"/>
      <c r="I22" s="49"/>
      <c r="J22" s="43"/>
    </row>
    <row r="23" spans="1:10" ht="15.75" customHeight="1">
      <c r="A23" s="43"/>
      <c r="B23" s="43"/>
      <c r="C23" s="51"/>
      <c r="D23" s="51"/>
      <c r="E23" s="43"/>
      <c r="F23" s="43"/>
      <c r="G23" s="43"/>
      <c r="H23" s="43"/>
      <c r="I23" s="43"/>
      <c r="J23" s="43"/>
    </row>
    <row r="24" spans="1:10" ht="15.75" customHeight="1">
      <c r="A24" s="55"/>
      <c r="B24" s="47" t="s">
        <v>33</v>
      </c>
      <c r="C24" s="62">
        <v>1500</v>
      </c>
      <c r="D24" s="43"/>
      <c r="E24" s="82" t="s">
        <v>34</v>
      </c>
      <c r="F24" s="82"/>
      <c r="G24" s="82"/>
      <c r="H24" s="82"/>
      <c r="I24" s="43"/>
      <c r="J24" s="43"/>
    </row>
    <row r="25" spans="1:10" ht="15.75" customHeight="1">
      <c r="A25" s="63"/>
      <c r="B25" s="64" t="s">
        <v>35</v>
      </c>
      <c r="C25" s="65">
        <f>ISO.CEILING( C24/C20)</f>
        <v>1364</v>
      </c>
      <c r="D25" s="43"/>
      <c r="E25" s="82"/>
      <c r="F25" s="82"/>
      <c r="G25" s="82"/>
      <c r="H25" s="82"/>
      <c r="I25" s="43"/>
      <c r="J25" s="43"/>
    </row>
    <row r="26" spans="1:10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</row>
    <row r="27" spans="1:10" ht="15.75" customHeight="1">
      <c r="A27" s="50"/>
      <c r="B27" s="66" t="s">
        <v>36</v>
      </c>
      <c r="C27" s="57">
        <f>C10-C25</f>
        <v>636</v>
      </c>
      <c r="D27" s="43"/>
      <c r="E27" s="43"/>
      <c r="F27" s="43"/>
      <c r="G27" s="43"/>
      <c r="H27" s="43"/>
      <c r="I27" s="43"/>
      <c r="J27" s="43"/>
    </row>
    <row r="28" spans="1:10" ht="15.75" customHeight="1">
      <c r="A28" s="43"/>
      <c r="B28" s="43"/>
      <c r="C28" s="43"/>
      <c r="D28" s="43"/>
      <c r="E28" s="43"/>
      <c r="F28" s="43"/>
    </row>
    <row r="29" spans="1:10" ht="12.75">
      <c r="A29" s="43"/>
      <c r="B29" s="72" t="s">
        <v>37</v>
      </c>
      <c r="C29" s="73"/>
      <c r="D29" s="73"/>
      <c r="E29" s="73"/>
      <c r="F29" s="73"/>
      <c r="G29" s="73"/>
      <c r="H29" s="74"/>
    </row>
    <row r="30" spans="1:10" ht="12.75">
      <c r="A30" s="43"/>
      <c r="B30" s="43"/>
      <c r="C30" s="43"/>
      <c r="D30" s="67"/>
    </row>
    <row r="31" spans="1:10" ht="25.5">
      <c r="A31" s="43"/>
      <c r="B31" s="68" t="s">
        <v>38</v>
      </c>
      <c r="C31" s="69">
        <f>C25*C14</f>
        <v>136400</v>
      </c>
      <c r="D31" s="67"/>
    </row>
    <row r="32" spans="1:10" ht="12.75">
      <c r="A32" s="43"/>
      <c r="B32" s="43"/>
      <c r="C32" s="43"/>
      <c r="D32" s="67"/>
    </row>
    <row r="33" spans="1:8" ht="12.75">
      <c r="A33" s="43"/>
      <c r="B33" s="72" t="s">
        <v>39</v>
      </c>
      <c r="C33" s="73"/>
      <c r="D33" s="73"/>
      <c r="E33" s="73"/>
      <c r="F33" s="73"/>
      <c r="G33" s="73"/>
      <c r="H33" s="74"/>
    </row>
    <row r="34" spans="1:8" ht="12.75">
      <c r="B34" s="70" t="s">
        <v>40</v>
      </c>
      <c r="C34" s="71">
        <f>C31*0.8</f>
        <v>109120</v>
      </c>
      <c r="D34" s="67"/>
    </row>
    <row r="35" spans="1:8" ht="12.75">
      <c r="B35" s="70" t="s">
        <v>41</v>
      </c>
      <c r="C35" s="71">
        <f>C31*1.2</f>
        <v>163680</v>
      </c>
      <c r="D35" s="67"/>
    </row>
    <row r="36" spans="1:8" ht="12.75">
      <c r="C36" s="67"/>
      <c r="D36" s="67"/>
    </row>
    <row r="37" spans="1:8" ht="12.75">
      <c r="C37" s="67"/>
      <c r="D37" s="67"/>
    </row>
    <row r="38" spans="1:8" ht="12.75">
      <c r="C38" s="67"/>
      <c r="D38" s="67"/>
    </row>
    <row r="39" spans="1:8" ht="12.75">
      <c r="C39" s="67"/>
      <c r="D39" s="67"/>
    </row>
    <row r="40" spans="1:8" ht="12.75">
      <c r="C40" s="67"/>
      <c r="D40" s="67"/>
    </row>
    <row r="41" spans="1:8" ht="12.75">
      <c r="C41" s="67"/>
      <c r="D41" s="67"/>
    </row>
    <row r="42" spans="1:8" ht="12.75">
      <c r="C42" s="67"/>
      <c r="D42" s="67"/>
    </row>
    <row r="43" spans="1:8" ht="12.75">
      <c r="C43" s="67"/>
      <c r="D43" s="67"/>
    </row>
    <row r="44" spans="1:8" ht="12.75">
      <c r="C44" s="67"/>
      <c r="D44" s="67"/>
    </row>
    <row r="45" spans="1:8" ht="12.75">
      <c r="C45" s="67"/>
      <c r="D45" s="67"/>
    </row>
    <row r="46" spans="1:8" ht="12.75">
      <c r="C46" s="67"/>
      <c r="D46" s="67"/>
    </row>
    <row r="47" spans="1:8" ht="12.75">
      <c r="C47" s="67"/>
      <c r="D47" s="67"/>
    </row>
    <row r="48" spans="1:8" ht="12.75">
      <c r="C48" s="67"/>
      <c r="D48" s="67"/>
    </row>
    <row r="49" spans="3:4" ht="12.75">
      <c r="C49" s="67"/>
      <c r="D49" s="67"/>
    </row>
    <row r="50" spans="3:4" ht="12.75">
      <c r="C50" s="67"/>
      <c r="D50" s="67"/>
    </row>
    <row r="51" spans="3:4" ht="12.75">
      <c r="C51" s="67"/>
      <c r="D51" s="67"/>
    </row>
    <row r="52" spans="3:4" ht="12.75">
      <c r="C52" s="67"/>
      <c r="D52" s="67"/>
    </row>
    <row r="53" spans="3:4" ht="12.75">
      <c r="C53" s="67"/>
      <c r="D53" s="67"/>
    </row>
    <row r="54" spans="3:4" ht="12.75">
      <c r="C54" s="67"/>
      <c r="D54" s="67"/>
    </row>
    <row r="55" spans="3:4" ht="12.75">
      <c r="C55" s="67"/>
      <c r="D55" s="67"/>
    </row>
    <row r="56" spans="3:4" ht="12.75">
      <c r="C56" s="67"/>
      <c r="D56" s="67"/>
    </row>
    <row r="57" spans="3:4" ht="12.75">
      <c r="C57" s="67"/>
      <c r="D57" s="67"/>
    </row>
    <row r="58" spans="3:4" ht="12.75">
      <c r="C58" s="67"/>
      <c r="D58" s="67"/>
    </row>
    <row r="59" spans="3:4" ht="12.75">
      <c r="C59" s="67"/>
      <c r="D59" s="67"/>
    </row>
    <row r="60" spans="3:4" ht="12.75">
      <c r="C60" s="67"/>
      <c r="D60" s="67"/>
    </row>
    <row r="61" spans="3:4" ht="12.75">
      <c r="C61" s="67"/>
      <c r="D61" s="67"/>
    </row>
    <row r="62" spans="3:4" ht="12.75">
      <c r="C62" s="67"/>
      <c r="D62" s="67"/>
    </row>
    <row r="63" spans="3:4" ht="12.75">
      <c r="C63" s="67"/>
      <c r="D63" s="67"/>
    </row>
    <row r="64" spans="3:4" ht="12.75">
      <c r="C64" s="67"/>
      <c r="D64" s="67"/>
    </row>
    <row r="65" spans="3:4" ht="12.75">
      <c r="C65" s="67"/>
      <c r="D65" s="67"/>
    </row>
    <row r="66" spans="3:4" ht="12.75">
      <c r="C66" s="67"/>
      <c r="D66" s="67"/>
    </row>
    <row r="67" spans="3:4" ht="12.75">
      <c r="C67" s="67"/>
      <c r="D67" s="67"/>
    </row>
    <row r="68" spans="3:4" ht="12.75">
      <c r="C68" s="67"/>
      <c r="D68" s="67"/>
    </row>
    <row r="69" spans="3:4" ht="12.75">
      <c r="C69" s="67"/>
      <c r="D69" s="67"/>
    </row>
    <row r="70" spans="3:4" ht="12.75">
      <c r="C70" s="67"/>
      <c r="D70" s="67"/>
    </row>
    <row r="71" spans="3:4" ht="12.75">
      <c r="C71" s="67"/>
      <c r="D71" s="67"/>
    </row>
    <row r="72" spans="3:4" ht="12.75">
      <c r="C72" s="67"/>
      <c r="D72" s="67"/>
    </row>
    <row r="73" spans="3:4" ht="12.75">
      <c r="C73" s="67"/>
      <c r="D73" s="67"/>
    </row>
    <row r="74" spans="3:4" ht="12.75">
      <c r="C74" s="67"/>
      <c r="D74" s="67"/>
    </row>
    <row r="75" spans="3:4" ht="12.75">
      <c r="C75" s="67"/>
      <c r="D75" s="67"/>
    </row>
    <row r="76" spans="3:4" ht="12.75">
      <c r="C76" s="67"/>
      <c r="D76" s="67"/>
    </row>
    <row r="77" spans="3:4" ht="12.75">
      <c r="C77" s="67"/>
      <c r="D77" s="67"/>
    </row>
    <row r="78" spans="3:4" ht="12.75">
      <c r="C78" s="67"/>
      <c r="D78" s="67"/>
    </row>
    <row r="79" spans="3:4" ht="12.75">
      <c r="C79" s="67"/>
      <c r="D79" s="67"/>
    </row>
    <row r="80" spans="3:4" ht="12.75">
      <c r="C80" s="67"/>
      <c r="D80" s="67"/>
    </row>
    <row r="81" spans="3:4" ht="12.75">
      <c r="C81" s="67"/>
      <c r="D81" s="67"/>
    </row>
    <row r="82" spans="3:4" ht="12.75">
      <c r="C82" s="67"/>
      <c r="D82" s="67"/>
    </row>
    <row r="83" spans="3:4" ht="12.75">
      <c r="C83" s="67"/>
      <c r="D83" s="67"/>
    </row>
    <row r="84" spans="3:4" ht="12.75">
      <c r="C84" s="67"/>
      <c r="D84" s="67"/>
    </row>
    <row r="85" spans="3:4" ht="12.75">
      <c r="C85" s="67"/>
      <c r="D85" s="67"/>
    </row>
    <row r="86" spans="3:4" ht="12.75">
      <c r="C86" s="67"/>
      <c r="D86" s="67"/>
    </row>
    <row r="87" spans="3:4" ht="12.75">
      <c r="C87" s="67"/>
      <c r="D87" s="67"/>
    </row>
    <row r="88" spans="3:4" ht="12.75">
      <c r="C88" s="67"/>
      <c r="D88" s="67"/>
    </row>
    <row r="89" spans="3:4" ht="12.75">
      <c r="C89" s="67"/>
      <c r="D89" s="67"/>
    </row>
    <row r="90" spans="3:4" ht="12.75">
      <c r="C90" s="67"/>
      <c r="D90" s="67"/>
    </row>
    <row r="91" spans="3:4" ht="12.75">
      <c r="C91" s="67"/>
      <c r="D91" s="67"/>
    </row>
    <row r="92" spans="3:4" ht="12.75">
      <c r="C92" s="67"/>
      <c r="D92" s="67"/>
    </row>
    <row r="93" spans="3:4" ht="12.75">
      <c r="C93" s="67"/>
      <c r="D93" s="67"/>
    </row>
    <row r="94" spans="3:4" ht="12.75">
      <c r="C94" s="67"/>
      <c r="D94" s="67"/>
    </row>
    <row r="95" spans="3:4" ht="12.75">
      <c r="C95" s="67"/>
      <c r="D95" s="67"/>
    </row>
    <row r="96" spans="3:4" ht="12.75">
      <c r="C96" s="67"/>
      <c r="D96" s="67"/>
    </row>
    <row r="97" spans="3:4" ht="12.75">
      <c r="C97" s="67"/>
      <c r="D97" s="67"/>
    </row>
    <row r="98" spans="3:4" ht="12.75">
      <c r="C98" s="67"/>
      <c r="D98" s="67"/>
    </row>
    <row r="99" spans="3:4" ht="12.75">
      <c r="C99" s="67"/>
      <c r="D99" s="67"/>
    </row>
    <row r="100" spans="3:4" ht="12.75">
      <c r="C100" s="67"/>
      <c r="D100" s="67"/>
    </row>
    <row r="101" spans="3:4" ht="12.75">
      <c r="C101" s="67"/>
      <c r="D101" s="67"/>
    </row>
    <row r="102" spans="3:4" ht="12.75">
      <c r="C102" s="67"/>
      <c r="D102" s="67"/>
    </row>
    <row r="103" spans="3:4" ht="12.75">
      <c r="C103" s="67"/>
      <c r="D103" s="67"/>
    </row>
    <row r="104" spans="3:4" ht="12.75">
      <c r="C104" s="67"/>
      <c r="D104" s="67"/>
    </row>
    <row r="105" spans="3:4" ht="12.75">
      <c r="C105" s="67"/>
      <c r="D105" s="67"/>
    </row>
    <row r="106" spans="3:4" ht="12.75">
      <c r="C106" s="67"/>
      <c r="D106" s="67"/>
    </row>
    <row r="107" spans="3:4" ht="12.75">
      <c r="C107" s="67"/>
      <c r="D107" s="67"/>
    </row>
    <row r="108" spans="3:4" ht="12.75">
      <c r="C108" s="67"/>
      <c r="D108" s="67"/>
    </row>
    <row r="109" spans="3:4" ht="12.75">
      <c r="C109" s="67"/>
      <c r="D109" s="67"/>
    </row>
    <row r="110" spans="3:4" ht="12.75">
      <c r="C110" s="67"/>
      <c r="D110" s="67"/>
    </row>
    <row r="111" spans="3:4" ht="12.75">
      <c r="C111" s="67"/>
      <c r="D111" s="67"/>
    </row>
    <row r="112" spans="3:4" ht="12.75">
      <c r="C112" s="67"/>
      <c r="D112" s="67"/>
    </row>
    <row r="113" spans="3:4" ht="12.75">
      <c r="C113" s="67"/>
      <c r="D113" s="67"/>
    </row>
    <row r="114" spans="3:4" ht="12.75">
      <c r="C114" s="67"/>
      <c r="D114" s="67"/>
    </row>
    <row r="115" spans="3:4" ht="12.75">
      <c r="C115" s="67"/>
      <c r="D115" s="67"/>
    </row>
    <row r="116" spans="3:4" ht="12.75">
      <c r="C116" s="67"/>
      <c r="D116" s="67"/>
    </row>
    <row r="117" spans="3:4" ht="12.75">
      <c r="C117" s="67"/>
      <c r="D117" s="67"/>
    </row>
    <row r="118" spans="3:4" ht="12.75">
      <c r="C118" s="67"/>
      <c r="D118" s="67"/>
    </row>
    <row r="119" spans="3:4" ht="12.75">
      <c r="C119" s="67"/>
      <c r="D119" s="67"/>
    </row>
    <row r="120" spans="3:4" ht="12.75">
      <c r="C120" s="67"/>
      <c r="D120" s="67"/>
    </row>
    <row r="121" spans="3:4" ht="12.75">
      <c r="C121" s="67"/>
      <c r="D121" s="67"/>
    </row>
    <row r="122" spans="3:4" ht="12.75">
      <c r="C122" s="67"/>
      <c r="D122" s="67"/>
    </row>
    <row r="123" spans="3:4" ht="12.75">
      <c r="C123" s="67"/>
      <c r="D123" s="67"/>
    </row>
    <row r="124" spans="3:4" ht="12.75">
      <c r="C124" s="67"/>
      <c r="D124" s="67"/>
    </row>
    <row r="125" spans="3:4" ht="12.75">
      <c r="C125" s="67"/>
      <c r="D125" s="67"/>
    </row>
    <row r="126" spans="3:4" ht="12.75">
      <c r="C126" s="67"/>
      <c r="D126" s="67"/>
    </row>
    <row r="127" spans="3:4" ht="12.75">
      <c r="C127" s="67"/>
      <c r="D127" s="67"/>
    </row>
    <row r="128" spans="3:4" ht="12.75">
      <c r="C128" s="67"/>
      <c r="D128" s="67"/>
    </row>
    <row r="129" spans="3:4" ht="12.75">
      <c r="C129" s="67"/>
      <c r="D129" s="67"/>
    </row>
    <row r="130" spans="3:4" ht="12.75">
      <c r="C130" s="67"/>
      <c r="D130" s="67"/>
    </row>
    <row r="131" spans="3:4" ht="12.75">
      <c r="C131" s="67"/>
      <c r="D131" s="67"/>
    </row>
    <row r="132" spans="3:4" ht="12.75">
      <c r="C132" s="67"/>
      <c r="D132" s="67"/>
    </row>
    <row r="133" spans="3:4" ht="12.75">
      <c r="C133" s="67"/>
      <c r="D133" s="67"/>
    </row>
    <row r="134" spans="3:4" ht="12.75">
      <c r="C134" s="67"/>
      <c r="D134" s="67"/>
    </row>
    <row r="135" spans="3:4" ht="12.75">
      <c r="C135" s="67"/>
      <c r="D135" s="67"/>
    </row>
    <row r="136" spans="3:4" ht="12.75">
      <c r="C136" s="67"/>
      <c r="D136" s="67"/>
    </row>
    <row r="137" spans="3:4" ht="12.75">
      <c r="C137" s="67"/>
      <c r="D137" s="67"/>
    </row>
    <row r="138" spans="3:4" ht="12.75">
      <c r="C138" s="67"/>
      <c r="D138" s="67"/>
    </row>
    <row r="139" spans="3:4" ht="12.75">
      <c r="C139" s="67"/>
      <c r="D139" s="67"/>
    </row>
    <row r="140" spans="3:4" ht="12.75">
      <c r="C140" s="67"/>
      <c r="D140" s="67"/>
    </row>
    <row r="141" spans="3:4" ht="12.75">
      <c r="C141" s="67"/>
      <c r="D141" s="67"/>
    </row>
    <row r="142" spans="3:4" ht="12.75">
      <c r="C142" s="67"/>
      <c r="D142" s="67"/>
    </row>
    <row r="143" spans="3:4" ht="12.75">
      <c r="C143" s="67"/>
      <c r="D143" s="67"/>
    </row>
    <row r="144" spans="3:4" ht="12.75">
      <c r="C144" s="67"/>
      <c r="D144" s="67"/>
    </row>
    <row r="145" spans="3:4" ht="12.75">
      <c r="C145" s="67"/>
      <c r="D145" s="67"/>
    </row>
    <row r="146" spans="3:4" ht="12.75">
      <c r="C146" s="67"/>
      <c r="D146" s="67"/>
    </row>
    <row r="147" spans="3:4" ht="12.75">
      <c r="C147" s="67"/>
      <c r="D147" s="67"/>
    </row>
    <row r="148" spans="3:4" ht="12.75">
      <c r="C148" s="67"/>
      <c r="D148" s="67"/>
    </row>
    <row r="149" spans="3:4" ht="12.75">
      <c r="C149" s="67"/>
      <c r="D149" s="67"/>
    </row>
    <row r="150" spans="3:4" ht="12.75">
      <c r="C150" s="67"/>
      <c r="D150" s="67"/>
    </row>
    <row r="151" spans="3:4" ht="12.75">
      <c r="C151" s="67"/>
      <c r="D151" s="67"/>
    </row>
    <row r="152" spans="3:4" ht="12.75">
      <c r="C152" s="67"/>
      <c r="D152" s="67"/>
    </row>
    <row r="153" spans="3:4" ht="12.75">
      <c r="C153" s="67"/>
      <c r="D153" s="67"/>
    </row>
    <row r="154" spans="3:4" ht="12.75">
      <c r="C154" s="67"/>
      <c r="D154" s="67"/>
    </row>
    <row r="155" spans="3:4" ht="12.75">
      <c r="C155" s="67"/>
      <c r="D155" s="67"/>
    </row>
    <row r="156" spans="3:4" ht="12.75">
      <c r="C156" s="67"/>
      <c r="D156" s="67"/>
    </row>
    <row r="157" spans="3:4" ht="12.75">
      <c r="C157" s="67"/>
      <c r="D157" s="67"/>
    </row>
    <row r="158" spans="3:4" ht="12.75">
      <c r="C158" s="67"/>
      <c r="D158" s="67"/>
    </row>
    <row r="159" spans="3:4" ht="12.75">
      <c r="C159" s="67"/>
      <c r="D159" s="67"/>
    </row>
    <row r="160" spans="3:4" ht="12.75">
      <c r="C160" s="67"/>
      <c r="D160" s="67"/>
    </row>
    <row r="161" spans="3:4" ht="12.75">
      <c r="C161" s="67"/>
      <c r="D161" s="67"/>
    </row>
    <row r="162" spans="3:4" ht="12.75">
      <c r="C162" s="67"/>
      <c r="D162" s="67"/>
    </row>
    <row r="163" spans="3:4" ht="12.75">
      <c r="C163" s="67"/>
      <c r="D163" s="67"/>
    </row>
    <row r="164" spans="3:4" ht="12.75">
      <c r="C164" s="67"/>
      <c r="D164" s="67"/>
    </row>
    <row r="165" spans="3:4" ht="12.75">
      <c r="C165" s="67"/>
      <c r="D165" s="67"/>
    </row>
    <row r="166" spans="3:4" ht="12.75">
      <c r="C166" s="67"/>
      <c r="D166" s="67"/>
    </row>
    <row r="167" spans="3:4" ht="12.75">
      <c r="C167" s="67"/>
      <c r="D167" s="67"/>
    </row>
    <row r="168" spans="3:4" ht="12.75">
      <c r="C168" s="67"/>
      <c r="D168" s="67"/>
    </row>
    <row r="169" spans="3:4" ht="12.75">
      <c r="C169" s="67"/>
      <c r="D169" s="67"/>
    </row>
    <row r="170" spans="3:4" ht="12.75">
      <c r="C170" s="67"/>
      <c r="D170" s="67"/>
    </row>
    <row r="171" spans="3:4" ht="12.75">
      <c r="C171" s="67"/>
      <c r="D171" s="67"/>
    </row>
    <row r="172" spans="3:4" ht="12.75">
      <c r="C172" s="67"/>
      <c r="D172" s="67"/>
    </row>
    <row r="173" spans="3:4" ht="12.75">
      <c r="C173" s="67"/>
      <c r="D173" s="67"/>
    </row>
    <row r="174" spans="3:4" ht="12.75">
      <c r="C174" s="67"/>
      <c r="D174" s="67"/>
    </row>
    <row r="175" spans="3:4" ht="12.75">
      <c r="C175" s="67"/>
      <c r="D175" s="67"/>
    </row>
    <row r="176" spans="3:4" ht="12.75">
      <c r="C176" s="67"/>
      <c r="D176" s="67"/>
    </row>
    <row r="177" spans="3:4" ht="12.75">
      <c r="C177" s="67"/>
      <c r="D177" s="67"/>
    </row>
    <row r="178" spans="3:4" ht="12.75">
      <c r="C178" s="67"/>
      <c r="D178" s="67"/>
    </row>
    <row r="179" spans="3:4" ht="12.75">
      <c r="C179" s="67"/>
      <c r="D179" s="67"/>
    </row>
    <row r="180" spans="3:4" ht="12.75">
      <c r="C180" s="67"/>
      <c r="D180" s="67"/>
    </row>
    <row r="181" spans="3:4" ht="12.75">
      <c r="C181" s="67"/>
      <c r="D181" s="67"/>
    </row>
    <row r="182" spans="3:4" ht="12.75">
      <c r="C182" s="67"/>
      <c r="D182" s="67"/>
    </row>
    <row r="183" spans="3:4" ht="12.75">
      <c r="C183" s="67"/>
      <c r="D183" s="67"/>
    </row>
    <row r="184" spans="3:4" ht="12.75">
      <c r="C184" s="67"/>
      <c r="D184" s="67"/>
    </row>
    <row r="185" spans="3:4" ht="12.75">
      <c r="C185" s="67"/>
      <c r="D185" s="67"/>
    </row>
    <row r="186" spans="3:4" ht="12.75">
      <c r="C186" s="67"/>
      <c r="D186" s="67"/>
    </row>
    <row r="187" spans="3:4" ht="12.75">
      <c r="C187" s="67"/>
      <c r="D187" s="67"/>
    </row>
    <row r="188" spans="3:4" ht="12.75">
      <c r="C188" s="67"/>
      <c r="D188" s="67"/>
    </row>
    <row r="189" spans="3:4" ht="12.75">
      <c r="C189" s="67"/>
      <c r="D189" s="67"/>
    </row>
    <row r="190" spans="3:4" ht="12.75">
      <c r="C190" s="67"/>
      <c r="D190" s="67"/>
    </row>
    <row r="191" spans="3:4" ht="12.75">
      <c r="C191" s="67"/>
      <c r="D191" s="67"/>
    </row>
    <row r="192" spans="3:4" ht="12.75">
      <c r="C192" s="67"/>
      <c r="D192" s="67"/>
    </row>
    <row r="193" spans="3:4" ht="12.75">
      <c r="C193" s="67"/>
      <c r="D193" s="67"/>
    </row>
    <row r="194" spans="3:4" ht="12.75">
      <c r="C194" s="67"/>
      <c r="D194" s="67"/>
    </row>
    <row r="195" spans="3:4" ht="12.75">
      <c r="C195" s="67"/>
      <c r="D195" s="67"/>
    </row>
    <row r="196" spans="3:4" ht="12.75">
      <c r="C196" s="67"/>
      <c r="D196" s="67"/>
    </row>
    <row r="197" spans="3:4" ht="12.75">
      <c r="C197" s="67"/>
      <c r="D197" s="67"/>
    </row>
    <row r="198" spans="3:4" ht="12.75">
      <c r="C198" s="67"/>
      <c r="D198" s="67"/>
    </row>
    <row r="199" spans="3:4" ht="12.75">
      <c r="C199" s="67"/>
      <c r="D199" s="67"/>
    </row>
    <row r="200" spans="3:4" ht="12.75">
      <c r="C200" s="67"/>
      <c r="D200" s="67"/>
    </row>
    <row r="201" spans="3:4" ht="12.75">
      <c r="C201" s="67"/>
      <c r="D201" s="67"/>
    </row>
    <row r="202" spans="3:4" ht="12.75">
      <c r="C202" s="67"/>
      <c r="D202" s="67"/>
    </row>
    <row r="203" spans="3:4" ht="12.75">
      <c r="C203" s="67"/>
      <c r="D203" s="67"/>
    </row>
    <row r="204" spans="3:4" ht="12.75">
      <c r="C204" s="67"/>
      <c r="D204" s="67"/>
    </row>
    <row r="205" spans="3:4" ht="12.75">
      <c r="C205" s="67"/>
      <c r="D205" s="67"/>
    </row>
    <row r="206" spans="3:4" ht="12.75">
      <c r="C206" s="67"/>
      <c r="D206" s="67"/>
    </row>
    <row r="207" spans="3:4" ht="12.75">
      <c r="C207" s="67"/>
      <c r="D207" s="67"/>
    </row>
    <row r="208" spans="3:4" ht="12.75">
      <c r="C208" s="67"/>
      <c r="D208" s="67"/>
    </row>
    <row r="209" spans="3:4" ht="12.75">
      <c r="C209" s="67"/>
      <c r="D209" s="67"/>
    </row>
    <row r="210" spans="3:4" ht="12.75">
      <c r="C210" s="67"/>
      <c r="D210" s="67"/>
    </row>
    <row r="211" spans="3:4" ht="12.75">
      <c r="C211" s="67"/>
      <c r="D211" s="67"/>
    </row>
    <row r="212" spans="3:4" ht="12.75">
      <c r="C212" s="67"/>
      <c r="D212" s="67"/>
    </row>
    <row r="213" spans="3:4" ht="12.75">
      <c r="C213" s="67"/>
      <c r="D213" s="67"/>
    </row>
    <row r="214" spans="3:4" ht="12.75">
      <c r="C214" s="67"/>
      <c r="D214" s="67"/>
    </row>
    <row r="215" spans="3:4" ht="12.75">
      <c r="C215" s="67"/>
      <c r="D215" s="67"/>
    </row>
    <row r="216" spans="3:4" ht="12.75">
      <c r="C216" s="67"/>
      <c r="D216" s="67"/>
    </row>
    <row r="217" spans="3:4" ht="12.75">
      <c r="C217" s="67"/>
      <c r="D217" s="67"/>
    </row>
    <row r="218" spans="3:4" ht="12.75">
      <c r="C218" s="67"/>
      <c r="D218" s="67"/>
    </row>
    <row r="219" spans="3:4" ht="12.75">
      <c r="C219" s="67"/>
      <c r="D219" s="67"/>
    </row>
    <row r="220" spans="3:4" ht="12.75">
      <c r="C220" s="67"/>
      <c r="D220" s="67"/>
    </row>
    <row r="221" spans="3:4" ht="12.75">
      <c r="C221" s="67"/>
      <c r="D221" s="67"/>
    </row>
    <row r="222" spans="3:4" ht="12.75">
      <c r="C222" s="67"/>
      <c r="D222" s="67"/>
    </row>
    <row r="223" spans="3:4" ht="12.75">
      <c r="C223" s="67"/>
      <c r="D223" s="67"/>
    </row>
    <row r="224" spans="3:4" ht="12.75">
      <c r="C224" s="67"/>
      <c r="D224" s="67"/>
    </row>
    <row r="225" spans="3:4" ht="12.75">
      <c r="C225" s="67"/>
      <c r="D225" s="67"/>
    </row>
    <row r="226" spans="3:4" ht="12.75">
      <c r="C226" s="67"/>
      <c r="D226" s="67"/>
    </row>
    <row r="227" spans="3:4" ht="12.75">
      <c r="C227" s="67"/>
      <c r="D227" s="67"/>
    </row>
    <row r="228" spans="3:4" ht="12.75">
      <c r="C228" s="67"/>
      <c r="D228" s="67"/>
    </row>
    <row r="229" spans="3:4" ht="12.75">
      <c r="C229" s="67"/>
      <c r="D229" s="67"/>
    </row>
    <row r="230" spans="3:4" ht="12.75">
      <c r="C230" s="67"/>
      <c r="D230" s="67"/>
    </row>
    <row r="231" spans="3:4" ht="12.75">
      <c r="C231" s="67"/>
      <c r="D231" s="67"/>
    </row>
    <row r="232" spans="3:4" ht="12.75">
      <c r="C232" s="67"/>
      <c r="D232" s="67"/>
    </row>
    <row r="233" spans="3:4" ht="12.75">
      <c r="C233" s="67"/>
      <c r="D233" s="67"/>
    </row>
    <row r="234" spans="3:4" ht="12.75">
      <c r="C234" s="67"/>
      <c r="D234" s="67"/>
    </row>
    <row r="235" spans="3:4" ht="12.75">
      <c r="C235" s="67"/>
      <c r="D235" s="67"/>
    </row>
    <row r="236" spans="3:4" ht="12.75">
      <c r="C236" s="67"/>
      <c r="D236" s="67"/>
    </row>
    <row r="237" spans="3:4" ht="12.75">
      <c r="C237" s="67"/>
      <c r="D237" s="67"/>
    </row>
    <row r="238" spans="3:4" ht="12.75">
      <c r="C238" s="67"/>
      <c r="D238" s="67"/>
    </row>
    <row r="239" spans="3:4" ht="12.75">
      <c r="C239" s="67"/>
      <c r="D239" s="67"/>
    </row>
    <row r="240" spans="3:4" ht="12.75">
      <c r="C240" s="67"/>
      <c r="D240" s="67"/>
    </row>
    <row r="241" spans="3:4" ht="12.75">
      <c r="C241" s="67"/>
      <c r="D241" s="67"/>
    </row>
    <row r="242" spans="3:4" ht="12.75">
      <c r="C242" s="67"/>
      <c r="D242" s="67"/>
    </row>
    <row r="243" spans="3:4" ht="12.75">
      <c r="C243" s="67"/>
      <c r="D243" s="67"/>
    </row>
    <row r="244" spans="3:4" ht="12.75">
      <c r="C244" s="67"/>
      <c r="D244" s="67"/>
    </row>
    <row r="245" spans="3:4" ht="12.75">
      <c r="C245" s="67"/>
      <c r="D245" s="67"/>
    </row>
    <row r="246" spans="3:4" ht="12.75">
      <c r="C246" s="67"/>
      <c r="D246" s="67"/>
    </row>
    <row r="247" spans="3:4" ht="12.75">
      <c r="C247" s="67"/>
      <c r="D247" s="67"/>
    </row>
    <row r="248" spans="3:4" ht="12.75">
      <c r="C248" s="67"/>
      <c r="D248" s="67"/>
    </row>
    <row r="249" spans="3:4" ht="12.75">
      <c r="C249" s="67"/>
      <c r="D249" s="67"/>
    </row>
    <row r="250" spans="3:4" ht="12.75">
      <c r="C250" s="67"/>
      <c r="D250" s="67"/>
    </row>
    <row r="251" spans="3:4" ht="12.75">
      <c r="C251" s="67"/>
      <c r="D251" s="67"/>
    </row>
    <row r="252" spans="3:4" ht="12.75">
      <c r="C252" s="67"/>
      <c r="D252" s="67"/>
    </row>
    <row r="253" spans="3:4" ht="12.75">
      <c r="C253" s="67"/>
      <c r="D253" s="67"/>
    </row>
    <row r="254" spans="3:4" ht="12.75">
      <c r="C254" s="67"/>
      <c r="D254" s="67"/>
    </row>
    <row r="255" spans="3:4" ht="12.75">
      <c r="C255" s="67"/>
      <c r="D255" s="67"/>
    </row>
    <row r="256" spans="3:4" ht="12.75">
      <c r="C256" s="67"/>
      <c r="D256" s="67"/>
    </row>
    <row r="257" spans="3:4" ht="12.75">
      <c r="C257" s="67"/>
      <c r="D257" s="67"/>
    </row>
    <row r="258" spans="3:4" ht="12.75">
      <c r="C258" s="67"/>
      <c r="D258" s="67"/>
    </row>
    <row r="259" spans="3:4" ht="12.75">
      <c r="C259" s="67"/>
      <c r="D259" s="67"/>
    </row>
    <row r="260" spans="3:4" ht="12.75">
      <c r="C260" s="67"/>
      <c r="D260" s="67"/>
    </row>
    <row r="261" spans="3:4" ht="12.75">
      <c r="C261" s="67"/>
      <c r="D261" s="67"/>
    </row>
    <row r="262" spans="3:4" ht="12.75">
      <c r="C262" s="67"/>
      <c r="D262" s="67"/>
    </row>
    <row r="263" spans="3:4" ht="12.75">
      <c r="C263" s="67"/>
      <c r="D263" s="67"/>
    </row>
    <row r="264" spans="3:4" ht="12.75">
      <c r="C264" s="67"/>
      <c r="D264" s="67"/>
    </row>
    <row r="265" spans="3:4" ht="12.75">
      <c r="C265" s="67"/>
      <c r="D265" s="67"/>
    </row>
    <row r="266" spans="3:4" ht="12.75">
      <c r="C266" s="67"/>
      <c r="D266" s="67"/>
    </row>
    <row r="267" spans="3:4" ht="12.75">
      <c r="C267" s="67"/>
      <c r="D267" s="67"/>
    </row>
    <row r="268" spans="3:4" ht="12.75">
      <c r="C268" s="67"/>
      <c r="D268" s="67"/>
    </row>
    <row r="269" spans="3:4" ht="12.75">
      <c r="C269" s="67"/>
      <c r="D269" s="67"/>
    </row>
    <row r="270" spans="3:4" ht="12.75">
      <c r="C270" s="67"/>
      <c r="D270" s="67"/>
    </row>
    <row r="271" spans="3:4" ht="12.75">
      <c r="C271" s="67"/>
      <c r="D271" s="67"/>
    </row>
    <row r="272" spans="3:4" ht="12.75">
      <c r="C272" s="67"/>
      <c r="D272" s="67"/>
    </row>
    <row r="273" spans="3:4" ht="12.75">
      <c r="C273" s="67"/>
      <c r="D273" s="67"/>
    </row>
    <row r="274" spans="3:4" ht="12.75">
      <c r="C274" s="67"/>
      <c r="D274" s="67"/>
    </row>
    <row r="275" spans="3:4" ht="12.75">
      <c r="C275" s="67"/>
      <c r="D275" s="67"/>
    </row>
    <row r="276" spans="3:4" ht="12.75">
      <c r="C276" s="67"/>
      <c r="D276" s="67"/>
    </row>
    <row r="277" spans="3:4" ht="12.75">
      <c r="C277" s="67"/>
      <c r="D277" s="67"/>
    </row>
    <row r="278" spans="3:4" ht="12.75">
      <c r="C278" s="67"/>
      <c r="D278" s="67"/>
    </row>
    <row r="279" spans="3:4" ht="12.75">
      <c r="C279" s="67"/>
      <c r="D279" s="67"/>
    </row>
    <row r="280" spans="3:4" ht="12.75">
      <c r="C280" s="67"/>
      <c r="D280" s="67"/>
    </row>
    <row r="281" spans="3:4" ht="12.75">
      <c r="C281" s="67"/>
      <c r="D281" s="67"/>
    </row>
    <row r="282" spans="3:4" ht="12.75">
      <c r="C282" s="67"/>
      <c r="D282" s="67"/>
    </row>
    <row r="283" spans="3:4" ht="12.75">
      <c r="C283" s="67"/>
      <c r="D283" s="67"/>
    </row>
    <row r="284" spans="3:4" ht="12.75">
      <c r="C284" s="67"/>
      <c r="D284" s="67"/>
    </row>
    <row r="285" spans="3:4" ht="12.75">
      <c r="C285" s="67"/>
      <c r="D285" s="67"/>
    </row>
    <row r="286" spans="3:4" ht="12.75">
      <c r="C286" s="67"/>
      <c r="D286" s="67"/>
    </row>
    <row r="287" spans="3:4" ht="12.75">
      <c r="C287" s="67"/>
      <c r="D287" s="67"/>
    </row>
    <row r="288" spans="3:4" ht="12.75">
      <c r="C288" s="67"/>
      <c r="D288" s="67"/>
    </row>
    <row r="289" spans="3:4" ht="12.75">
      <c r="C289" s="67"/>
      <c r="D289" s="67"/>
    </row>
    <row r="290" spans="3:4" ht="12.75">
      <c r="C290" s="67"/>
      <c r="D290" s="67"/>
    </row>
    <row r="291" spans="3:4" ht="12.75">
      <c r="C291" s="67"/>
      <c r="D291" s="67"/>
    </row>
    <row r="292" spans="3:4" ht="12.75">
      <c r="C292" s="67"/>
      <c r="D292" s="67"/>
    </row>
    <row r="293" spans="3:4" ht="12.75">
      <c r="C293" s="67"/>
      <c r="D293" s="67"/>
    </row>
    <row r="294" spans="3:4" ht="12.75">
      <c r="C294" s="67"/>
      <c r="D294" s="67"/>
    </row>
    <row r="295" spans="3:4" ht="12.75">
      <c r="C295" s="67"/>
      <c r="D295" s="67"/>
    </row>
    <row r="296" spans="3:4" ht="12.75">
      <c r="C296" s="67"/>
      <c r="D296" s="67"/>
    </row>
    <row r="297" spans="3:4" ht="12.75">
      <c r="C297" s="67"/>
      <c r="D297" s="67"/>
    </row>
    <row r="298" spans="3:4" ht="12.75">
      <c r="C298" s="67"/>
      <c r="D298" s="67"/>
    </row>
    <row r="299" spans="3:4" ht="12.75">
      <c r="C299" s="67"/>
      <c r="D299" s="67"/>
    </row>
    <row r="300" spans="3:4" ht="12.75">
      <c r="C300" s="67"/>
      <c r="D300" s="67"/>
    </row>
    <row r="301" spans="3:4" ht="12.75">
      <c r="C301" s="67"/>
      <c r="D301" s="67"/>
    </row>
    <row r="302" spans="3:4" ht="12.75">
      <c r="C302" s="67"/>
      <c r="D302" s="67"/>
    </row>
    <row r="303" spans="3:4" ht="12.75">
      <c r="C303" s="67"/>
      <c r="D303" s="67"/>
    </row>
    <row r="304" spans="3:4" ht="12.75">
      <c r="C304" s="67"/>
      <c r="D304" s="67"/>
    </row>
    <row r="305" spans="3:4" ht="12.75">
      <c r="C305" s="67"/>
      <c r="D305" s="67"/>
    </row>
    <row r="306" spans="3:4" ht="12.75">
      <c r="C306" s="67"/>
      <c r="D306" s="67"/>
    </row>
    <row r="307" spans="3:4" ht="12.75">
      <c r="C307" s="67"/>
      <c r="D307" s="67"/>
    </row>
    <row r="308" spans="3:4" ht="12.75">
      <c r="C308" s="67"/>
      <c r="D308" s="67"/>
    </row>
    <row r="309" spans="3:4" ht="12.75">
      <c r="C309" s="67"/>
      <c r="D309" s="67"/>
    </row>
    <row r="310" spans="3:4" ht="12.75">
      <c r="C310" s="67"/>
      <c r="D310" s="67"/>
    </row>
    <row r="311" spans="3:4" ht="12.75">
      <c r="C311" s="67"/>
      <c r="D311" s="67"/>
    </row>
    <row r="312" spans="3:4" ht="12.75">
      <c r="C312" s="67"/>
      <c r="D312" s="67"/>
    </row>
    <row r="313" spans="3:4" ht="12.75">
      <c r="C313" s="67"/>
      <c r="D313" s="67"/>
    </row>
    <row r="314" spans="3:4" ht="12.75">
      <c r="C314" s="67"/>
      <c r="D314" s="67"/>
    </row>
    <row r="315" spans="3:4" ht="12.75">
      <c r="C315" s="67"/>
      <c r="D315" s="67"/>
    </row>
    <row r="316" spans="3:4" ht="12.75">
      <c r="C316" s="67"/>
      <c r="D316" s="67"/>
    </row>
    <row r="317" spans="3:4" ht="12.75">
      <c r="C317" s="67"/>
      <c r="D317" s="67"/>
    </row>
    <row r="318" spans="3:4" ht="12.75">
      <c r="C318" s="67"/>
      <c r="D318" s="67"/>
    </row>
    <row r="319" spans="3:4" ht="12.75">
      <c r="C319" s="67"/>
      <c r="D319" s="67"/>
    </row>
    <row r="320" spans="3:4" ht="12.75">
      <c r="C320" s="67"/>
      <c r="D320" s="67"/>
    </row>
    <row r="321" spans="3:4" ht="12.75">
      <c r="C321" s="67"/>
      <c r="D321" s="67"/>
    </row>
    <row r="322" spans="3:4" ht="12.75">
      <c r="C322" s="67"/>
      <c r="D322" s="67"/>
    </row>
    <row r="323" spans="3:4" ht="12.75">
      <c r="C323" s="67"/>
      <c r="D323" s="67"/>
    </row>
    <row r="324" spans="3:4" ht="12.75">
      <c r="C324" s="67"/>
      <c r="D324" s="67"/>
    </row>
    <row r="325" spans="3:4" ht="12.75">
      <c r="C325" s="67"/>
      <c r="D325" s="67"/>
    </row>
    <row r="326" spans="3:4" ht="12.75">
      <c r="C326" s="67"/>
      <c r="D326" s="67"/>
    </row>
    <row r="327" spans="3:4" ht="12.75">
      <c r="C327" s="67"/>
      <c r="D327" s="67"/>
    </row>
    <row r="328" spans="3:4" ht="12.75">
      <c r="C328" s="67"/>
      <c r="D328" s="67"/>
    </row>
    <row r="329" spans="3:4" ht="12.75">
      <c r="C329" s="67"/>
      <c r="D329" s="67"/>
    </row>
    <row r="330" spans="3:4" ht="12.75">
      <c r="C330" s="67"/>
      <c r="D330" s="67"/>
    </row>
    <row r="331" spans="3:4" ht="12.75">
      <c r="C331" s="67"/>
      <c r="D331" s="67"/>
    </row>
    <row r="332" spans="3:4" ht="12.75">
      <c r="C332" s="67"/>
      <c r="D332" s="67"/>
    </row>
    <row r="333" spans="3:4" ht="12.75">
      <c r="C333" s="67"/>
      <c r="D333" s="67"/>
    </row>
    <row r="334" spans="3:4" ht="12.75">
      <c r="C334" s="67"/>
      <c r="D334" s="67"/>
    </row>
    <row r="335" spans="3:4" ht="12.75">
      <c r="C335" s="67"/>
      <c r="D335" s="67"/>
    </row>
    <row r="336" spans="3:4" ht="12.75">
      <c r="C336" s="67"/>
      <c r="D336" s="67"/>
    </row>
    <row r="337" spans="3:4" ht="12.75">
      <c r="C337" s="67"/>
      <c r="D337" s="67"/>
    </row>
    <row r="338" spans="3:4" ht="12.75">
      <c r="C338" s="67"/>
      <c r="D338" s="67"/>
    </row>
    <row r="339" spans="3:4" ht="12.75">
      <c r="C339" s="67"/>
      <c r="D339" s="67"/>
    </row>
    <row r="340" spans="3:4" ht="12.75">
      <c r="C340" s="67"/>
      <c r="D340" s="67"/>
    </row>
    <row r="341" spans="3:4" ht="12.75">
      <c r="C341" s="67"/>
      <c r="D341" s="67"/>
    </row>
    <row r="342" spans="3:4" ht="12.75">
      <c r="C342" s="67"/>
      <c r="D342" s="67"/>
    </row>
    <row r="343" spans="3:4" ht="12.75">
      <c r="C343" s="67"/>
      <c r="D343" s="67"/>
    </row>
    <row r="344" spans="3:4" ht="12.75">
      <c r="C344" s="67"/>
      <c r="D344" s="67"/>
    </row>
    <row r="345" spans="3:4" ht="12.75">
      <c r="C345" s="67"/>
      <c r="D345" s="67"/>
    </row>
    <row r="346" spans="3:4" ht="12.75">
      <c r="C346" s="67"/>
      <c r="D346" s="67"/>
    </row>
    <row r="347" spans="3:4" ht="12.75">
      <c r="C347" s="67"/>
      <c r="D347" s="67"/>
    </row>
    <row r="348" spans="3:4" ht="12.75">
      <c r="C348" s="67"/>
      <c r="D348" s="67"/>
    </row>
    <row r="349" spans="3:4" ht="12.75">
      <c r="C349" s="67"/>
      <c r="D349" s="67"/>
    </row>
    <row r="350" spans="3:4" ht="12.75">
      <c r="C350" s="67"/>
      <c r="D350" s="67"/>
    </row>
    <row r="351" spans="3:4" ht="12.75">
      <c r="C351" s="67"/>
      <c r="D351" s="67"/>
    </row>
    <row r="352" spans="3:4" ht="12.75">
      <c r="C352" s="67"/>
      <c r="D352" s="67"/>
    </row>
    <row r="353" spans="3:4" ht="12.75">
      <c r="C353" s="67"/>
      <c r="D353" s="67"/>
    </row>
    <row r="354" spans="3:4" ht="12.75">
      <c r="C354" s="67"/>
      <c r="D354" s="67"/>
    </row>
    <row r="355" spans="3:4" ht="12.75">
      <c r="C355" s="67"/>
      <c r="D355" s="67"/>
    </row>
    <row r="356" spans="3:4" ht="12.75">
      <c r="C356" s="67"/>
      <c r="D356" s="67"/>
    </row>
    <row r="357" spans="3:4" ht="12.75">
      <c r="C357" s="67"/>
      <c r="D357" s="67"/>
    </row>
    <row r="358" spans="3:4" ht="12.75">
      <c r="C358" s="67"/>
      <c r="D358" s="67"/>
    </row>
    <row r="359" spans="3:4" ht="12.75">
      <c r="C359" s="67"/>
      <c r="D359" s="67"/>
    </row>
    <row r="360" spans="3:4" ht="12.75">
      <c r="C360" s="67"/>
      <c r="D360" s="67"/>
    </row>
    <row r="361" spans="3:4" ht="12.75">
      <c r="C361" s="67"/>
      <c r="D361" s="67"/>
    </row>
    <row r="362" spans="3:4" ht="12.75">
      <c r="C362" s="67"/>
      <c r="D362" s="67"/>
    </row>
    <row r="363" spans="3:4" ht="12.75">
      <c r="C363" s="67"/>
      <c r="D363" s="67"/>
    </row>
    <row r="364" spans="3:4" ht="12.75">
      <c r="C364" s="67"/>
      <c r="D364" s="67"/>
    </row>
    <row r="365" spans="3:4" ht="12.75">
      <c r="C365" s="67"/>
      <c r="D365" s="67"/>
    </row>
    <row r="366" spans="3:4" ht="12.75">
      <c r="C366" s="67"/>
      <c r="D366" s="67"/>
    </row>
    <row r="367" spans="3:4" ht="12.75">
      <c r="C367" s="67"/>
      <c r="D367" s="67"/>
    </row>
    <row r="368" spans="3:4" ht="12.75">
      <c r="C368" s="67"/>
      <c r="D368" s="67"/>
    </row>
    <row r="369" spans="3:4" ht="12.75">
      <c r="C369" s="67"/>
      <c r="D369" s="67"/>
    </row>
    <row r="370" spans="3:4" ht="12.75">
      <c r="C370" s="67"/>
      <c r="D370" s="67"/>
    </row>
    <row r="371" spans="3:4" ht="12.75">
      <c r="C371" s="67"/>
      <c r="D371" s="67"/>
    </row>
    <row r="372" spans="3:4" ht="12.75">
      <c r="C372" s="67"/>
      <c r="D372" s="67"/>
    </row>
    <row r="373" spans="3:4" ht="12.75">
      <c r="C373" s="67"/>
      <c r="D373" s="67"/>
    </row>
    <row r="374" spans="3:4" ht="12.75">
      <c r="C374" s="67"/>
      <c r="D374" s="67"/>
    </row>
    <row r="375" spans="3:4" ht="12.75">
      <c r="C375" s="67"/>
      <c r="D375" s="67"/>
    </row>
    <row r="376" spans="3:4" ht="12.75">
      <c r="C376" s="67"/>
      <c r="D376" s="67"/>
    </row>
    <row r="377" spans="3:4" ht="12.75">
      <c r="C377" s="67"/>
      <c r="D377" s="67"/>
    </row>
    <row r="378" spans="3:4" ht="12.75">
      <c r="C378" s="67"/>
      <c r="D378" s="67"/>
    </row>
    <row r="379" spans="3:4" ht="12.75">
      <c r="C379" s="67"/>
      <c r="D379" s="67"/>
    </row>
    <row r="380" spans="3:4" ht="12.75">
      <c r="C380" s="67"/>
      <c r="D380" s="67"/>
    </row>
    <row r="381" spans="3:4" ht="12.75">
      <c r="C381" s="67"/>
      <c r="D381" s="67"/>
    </row>
    <row r="382" spans="3:4" ht="12.75">
      <c r="C382" s="67"/>
      <c r="D382" s="67"/>
    </row>
    <row r="383" spans="3:4" ht="12.75">
      <c r="C383" s="67"/>
      <c r="D383" s="67"/>
    </row>
    <row r="384" spans="3:4" ht="12.75">
      <c r="C384" s="67"/>
      <c r="D384" s="67"/>
    </row>
    <row r="385" spans="3:4" ht="12.75">
      <c r="C385" s="67"/>
      <c r="D385" s="67"/>
    </row>
    <row r="386" spans="3:4" ht="12.75">
      <c r="C386" s="67"/>
      <c r="D386" s="67"/>
    </row>
    <row r="387" spans="3:4" ht="12.75">
      <c r="C387" s="67"/>
      <c r="D387" s="67"/>
    </row>
    <row r="388" spans="3:4" ht="12.75">
      <c r="C388" s="67"/>
      <c r="D388" s="67"/>
    </row>
    <row r="389" spans="3:4" ht="12.75">
      <c r="C389" s="67"/>
      <c r="D389" s="67"/>
    </row>
    <row r="390" spans="3:4" ht="12.75">
      <c r="C390" s="67"/>
      <c r="D390" s="67"/>
    </row>
    <row r="391" spans="3:4" ht="12.75">
      <c r="C391" s="67"/>
      <c r="D391" s="67"/>
    </row>
    <row r="392" spans="3:4" ht="12.75">
      <c r="C392" s="67"/>
      <c r="D392" s="67"/>
    </row>
    <row r="393" spans="3:4" ht="12.75">
      <c r="C393" s="67"/>
      <c r="D393" s="67"/>
    </row>
    <row r="394" spans="3:4" ht="12.75">
      <c r="C394" s="67"/>
      <c r="D394" s="67"/>
    </row>
    <row r="395" spans="3:4" ht="12.75">
      <c r="C395" s="67"/>
      <c r="D395" s="67"/>
    </row>
    <row r="396" spans="3:4" ht="12.75">
      <c r="C396" s="67"/>
      <c r="D396" s="67"/>
    </row>
    <row r="397" spans="3:4" ht="12.75">
      <c r="C397" s="67"/>
      <c r="D397" s="67"/>
    </row>
    <row r="398" spans="3:4" ht="12.75">
      <c r="C398" s="67"/>
      <c r="D398" s="67"/>
    </row>
    <row r="399" spans="3:4" ht="12.75">
      <c r="C399" s="67"/>
      <c r="D399" s="67"/>
    </row>
    <row r="400" spans="3:4" ht="12.75">
      <c r="C400" s="67"/>
      <c r="D400" s="67"/>
    </row>
    <row r="401" spans="3:4" ht="12.75">
      <c r="C401" s="67"/>
      <c r="D401" s="67"/>
    </row>
    <row r="402" spans="3:4" ht="12.75">
      <c r="C402" s="67"/>
      <c r="D402" s="67"/>
    </row>
    <row r="403" spans="3:4" ht="12.75">
      <c r="C403" s="67"/>
      <c r="D403" s="67"/>
    </row>
    <row r="404" spans="3:4" ht="12.75">
      <c r="C404" s="67"/>
      <c r="D404" s="67"/>
    </row>
    <row r="405" spans="3:4" ht="12.75">
      <c r="C405" s="67"/>
      <c r="D405" s="67"/>
    </row>
    <row r="406" spans="3:4" ht="12.75">
      <c r="C406" s="67"/>
      <c r="D406" s="67"/>
    </row>
    <row r="407" spans="3:4" ht="12.75">
      <c r="C407" s="67"/>
      <c r="D407" s="67"/>
    </row>
    <row r="408" spans="3:4" ht="12.75">
      <c r="C408" s="67"/>
      <c r="D408" s="67"/>
    </row>
    <row r="409" spans="3:4" ht="12.75">
      <c r="C409" s="67"/>
      <c r="D409" s="67"/>
    </row>
    <row r="410" spans="3:4" ht="12.75">
      <c r="C410" s="67"/>
      <c r="D410" s="67"/>
    </row>
    <row r="411" spans="3:4" ht="12.75">
      <c r="C411" s="67"/>
      <c r="D411" s="67"/>
    </row>
    <row r="412" spans="3:4" ht="12.75">
      <c r="C412" s="67"/>
      <c r="D412" s="67"/>
    </row>
    <row r="413" spans="3:4" ht="12.75">
      <c r="C413" s="67"/>
      <c r="D413" s="67"/>
    </row>
    <row r="414" spans="3:4" ht="12.75">
      <c r="C414" s="67"/>
      <c r="D414" s="67"/>
    </row>
    <row r="415" spans="3:4" ht="12.75">
      <c r="C415" s="67"/>
      <c r="D415" s="67"/>
    </row>
    <row r="416" spans="3:4" ht="12.75">
      <c r="C416" s="67"/>
      <c r="D416" s="67"/>
    </row>
    <row r="417" spans="3:4" ht="12.75">
      <c r="C417" s="67"/>
      <c r="D417" s="67"/>
    </row>
    <row r="418" spans="3:4" ht="12.75">
      <c r="C418" s="67"/>
      <c r="D418" s="67"/>
    </row>
    <row r="419" spans="3:4" ht="12.75">
      <c r="C419" s="67"/>
      <c r="D419" s="67"/>
    </row>
    <row r="420" spans="3:4" ht="12.75">
      <c r="C420" s="67"/>
      <c r="D420" s="67"/>
    </row>
    <row r="421" spans="3:4" ht="12.75">
      <c r="C421" s="67"/>
      <c r="D421" s="67"/>
    </row>
    <row r="422" spans="3:4" ht="12.75">
      <c r="C422" s="67"/>
      <c r="D422" s="67"/>
    </row>
    <row r="423" spans="3:4" ht="12.75">
      <c r="C423" s="67"/>
      <c r="D423" s="67"/>
    </row>
    <row r="424" spans="3:4" ht="12.75">
      <c r="C424" s="67"/>
      <c r="D424" s="67"/>
    </row>
    <row r="425" spans="3:4" ht="12.75">
      <c r="C425" s="67"/>
      <c r="D425" s="67"/>
    </row>
    <row r="426" spans="3:4" ht="12.75">
      <c r="C426" s="67"/>
      <c r="D426" s="67"/>
    </row>
    <row r="427" spans="3:4" ht="12.75">
      <c r="C427" s="67"/>
      <c r="D427" s="67"/>
    </row>
    <row r="428" spans="3:4" ht="12.75">
      <c r="C428" s="67"/>
      <c r="D428" s="67"/>
    </row>
    <row r="429" spans="3:4" ht="12.75">
      <c r="C429" s="67"/>
      <c r="D429" s="67"/>
    </row>
    <row r="430" spans="3:4" ht="12.75">
      <c r="C430" s="67"/>
      <c r="D430" s="67"/>
    </row>
    <row r="431" spans="3:4" ht="12.75">
      <c r="C431" s="67"/>
      <c r="D431" s="67"/>
    </row>
    <row r="432" spans="3:4" ht="12.75">
      <c r="C432" s="67"/>
      <c r="D432" s="67"/>
    </row>
    <row r="433" spans="3:4" ht="12.75">
      <c r="C433" s="67"/>
      <c r="D433" s="67"/>
    </row>
    <row r="434" spans="3:4" ht="12.75">
      <c r="C434" s="67"/>
      <c r="D434" s="67"/>
    </row>
    <row r="435" spans="3:4" ht="12.75">
      <c r="C435" s="67"/>
      <c r="D435" s="67"/>
    </row>
    <row r="436" spans="3:4" ht="12.75">
      <c r="C436" s="67"/>
      <c r="D436" s="67"/>
    </row>
    <row r="437" spans="3:4" ht="12.75">
      <c r="C437" s="67"/>
      <c r="D437" s="67"/>
    </row>
    <row r="438" spans="3:4" ht="12.75">
      <c r="C438" s="67"/>
      <c r="D438" s="67"/>
    </row>
    <row r="439" spans="3:4" ht="12.75">
      <c r="C439" s="67"/>
      <c r="D439" s="67"/>
    </row>
    <row r="440" spans="3:4" ht="12.75">
      <c r="C440" s="67"/>
      <c r="D440" s="67"/>
    </row>
    <row r="441" spans="3:4" ht="12.75">
      <c r="C441" s="67"/>
      <c r="D441" s="67"/>
    </row>
    <row r="442" spans="3:4" ht="12.75">
      <c r="C442" s="67"/>
      <c r="D442" s="67"/>
    </row>
    <row r="443" spans="3:4" ht="12.75">
      <c r="C443" s="67"/>
      <c r="D443" s="67"/>
    </row>
    <row r="444" spans="3:4" ht="12.75">
      <c r="C444" s="67"/>
      <c r="D444" s="67"/>
    </row>
    <row r="445" spans="3:4" ht="12.75">
      <c r="C445" s="67"/>
      <c r="D445" s="67"/>
    </row>
    <row r="446" spans="3:4" ht="12.75">
      <c r="C446" s="67"/>
      <c r="D446" s="67"/>
    </row>
    <row r="447" spans="3:4" ht="12.75">
      <c r="C447" s="67"/>
      <c r="D447" s="67"/>
    </row>
    <row r="448" spans="3:4" ht="12.75">
      <c r="C448" s="67"/>
      <c r="D448" s="67"/>
    </row>
    <row r="449" spans="3:4" ht="12.75">
      <c r="C449" s="67"/>
      <c r="D449" s="67"/>
    </row>
    <row r="450" spans="3:4" ht="12.75">
      <c r="C450" s="67"/>
      <c r="D450" s="67"/>
    </row>
    <row r="451" spans="3:4" ht="12.75">
      <c r="C451" s="67"/>
      <c r="D451" s="67"/>
    </row>
    <row r="452" spans="3:4" ht="12.75">
      <c r="C452" s="67"/>
      <c r="D452" s="67"/>
    </row>
    <row r="453" spans="3:4" ht="12.75">
      <c r="C453" s="67"/>
      <c r="D453" s="67"/>
    </row>
    <row r="454" spans="3:4" ht="12.75">
      <c r="C454" s="67"/>
      <c r="D454" s="67"/>
    </row>
    <row r="455" spans="3:4" ht="12.75">
      <c r="C455" s="67"/>
      <c r="D455" s="67"/>
    </row>
    <row r="456" spans="3:4" ht="12.75">
      <c r="C456" s="67"/>
      <c r="D456" s="67"/>
    </row>
    <row r="457" spans="3:4" ht="12.75">
      <c r="C457" s="67"/>
      <c r="D457" s="67"/>
    </row>
    <row r="458" spans="3:4" ht="12.75">
      <c r="C458" s="67"/>
      <c r="D458" s="67"/>
    </row>
    <row r="459" spans="3:4" ht="12.75">
      <c r="C459" s="67"/>
      <c r="D459" s="67"/>
    </row>
    <row r="460" spans="3:4" ht="12.75">
      <c r="C460" s="67"/>
      <c r="D460" s="67"/>
    </row>
    <row r="461" spans="3:4" ht="12.75">
      <c r="C461" s="67"/>
      <c r="D461" s="67"/>
    </row>
    <row r="462" spans="3:4" ht="12.75">
      <c r="C462" s="67"/>
      <c r="D462" s="67"/>
    </row>
    <row r="463" spans="3:4" ht="12.75">
      <c r="C463" s="67"/>
      <c r="D463" s="67"/>
    </row>
    <row r="464" spans="3:4" ht="12.75">
      <c r="C464" s="67"/>
      <c r="D464" s="67"/>
    </row>
    <row r="465" spans="3:4" ht="12.75">
      <c r="C465" s="67"/>
      <c r="D465" s="67"/>
    </row>
    <row r="466" spans="3:4" ht="12.75">
      <c r="C466" s="67"/>
      <c r="D466" s="67"/>
    </row>
    <row r="467" spans="3:4" ht="12.75">
      <c r="C467" s="67"/>
      <c r="D467" s="67"/>
    </row>
    <row r="468" spans="3:4" ht="12.75">
      <c r="C468" s="67"/>
      <c r="D468" s="67"/>
    </row>
    <row r="469" spans="3:4" ht="12.75">
      <c r="C469" s="67"/>
      <c r="D469" s="67"/>
    </row>
    <row r="470" spans="3:4" ht="12.75">
      <c r="C470" s="67"/>
      <c r="D470" s="67"/>
    </row>
    <row r="471" spans="3:4" ht="12.75">
      <c r="C471" s="67"/>
      <c r="D471" s="67"/>
    </row>
    <row r="472" spans="3:4" ht="12.75">
      <c r="C472" s="67"/>
      <c r="D472" s="67"/>
    </row>
    <row r="473" spans="3:4" ht="12.75">
      <c r="C473" s="67"/>
      <c r="D473" s="67"/>
    </row>
    <row r="474" spans="3:4" ht="12.75">
      <c r="C474" s="67"/>
      <c r="D474" s="67"/>
    </row>
    <row r="475" spans="3:4" ht="12.75">
      <c r="C475" s="67"/>
      <c r="D475" s="67"/>
    </row>
    <row r="476" spans="3:4" ht="12.75">
      <c r="C476" s="67"/>
      <c r="D476" s="67"/>
    </row>
    <row r="477" spans="3:4" ht="12.75">
      <c r="C477" s="67"/>
      <c r="D477" s="67"/>
    </row>
    <row r="478" spans="3:4" ht="12.75">
      <c r="C478" s="67"/>
      <c r="D478" s="67"/>
    </row>
    <row r="479" spans="3:4" ht="12.75">
      <c r="C479" s="67"/>
      <c r="D479" s="67"/>
    </row>
    <row r="480" spans="3:4" ht="12.75">
      <c r="C480" s="67"/>
      <c r="D480" s="67"/>
    </row>
    <row r="481" spans="3:4" ht="12.75">
      <c r="C481" s="67"/>
      <c r="D481" s="67"/>
    </row>
    <row r="482" spans="3:4" ht="12.75">
      <c r="C482" s="67"/>
      <c r="D482" s="67"/>
    </row>
    <row r="483" spans="3:4" ht="12.75">
      <c r="C483" s="67"/>
      <c r="D483" s="67"/>
    </row>
    <row r="484" spans="3:4" ht="12.75">
      <c r="C484" s="67"/>
      <c r="D484" s="67"/>
    </row>
    <row r="485" spans="3:4" ht="12.75">
      <c r="C485" s="67"/>
      <c r="D485" s="67"/>
    </row>
    <row r="486" spans="3:4" ht="12.75">
      <c r="C486" s="67"/>
      <c r="D486" s="67"/>
    </row>
    <row r="487" spans="3:4" ht="12.75">
      <c r="C487" s="67"/>
      <c r="D487" s="67"/>
    </row>
    <row r="488" spans="3:4" ht="12.75">
      <c r="C488" s="67"/>
      <c r="D488" s="67"/>
    </row>
    <row r="489" spans="3:4" ht="12.75">
      <c r="C489" s="67"/>
      <c r="D489" s="67"/>
    </row>
    <row r="490" spans="3:4" ht="12.75">
      <c r="C490" s="67"/>
      <c r="D490" s="67"/>
    </row>
    <row r="491" spans="3:4" ht="12.75">
      <c r="C491" s="67"/>
      <c r="D491" s="67"/>
    </row>
    <row r="492" spans="3:4" ht="12.75">
      <c r="C492" s="67"/>
      <c r="D492" s="67"/>
    </row>
    <row r="493" spans="3:4" ht="12.75">
      <c r="C493" s="67"/>
      <c r="D493" s="67"/>
    </row>
    <row r="494" spans="3:4" ht="12.75">
      <c r="C494" s="67"/>
      <c r="D494" s="67"/>
    </row>
    <row r="495" spans="3:4" ht="12.75">
      <c r="C495" s="67"/>
      <c r="D495" s="67"/>
    </row>
    <row r="496" spans="3:4" ht="12.75">
      <c r="C496" s="67"/>
      <c r="D496" s="67"/>
    </row>
    <row r="497" spans="3:4" ht="12.75">
      <c r="C497" s="67"/>
      <c r="D497" s="67"/>
    </row>
    <row r="498" spans="3:4" ht="12.75">
      <c r="C498" s="67"/>
      <c r="D498" s="67"/>
    </row>
    <row r="499" spans="3:4" ht="12.75">
      <c r="C499" s="67"/>
      <c r="D499" s="67"/>
    </row>
    <row r="500" spans="3:4" ht="12.75">
      <c r="C500" s="67"/>
      <c r="D500" s="67"/>
    </row>
    <row r="501" spans="3:4" ht="12.75">
      <c r="C501" s="67"/>
      <c r="D501" s="67"/>
    </row>
    <row r="502" spans="3:4" ht="12.75">
      <c r="C502" s="67"/>
      <c r="D502" s="67"/>
    </row>
    <row r="503" spans="3:4" ht="12.75">
      <c r="C503" s="67"/>
      <c r="D503" s="67"/>
    </row>
    <row r="504" spans="3:4" ht="12.75">
      <c r="C504" s="67"/>
      <c r="D504" s="67"/>
    </row>
    <row r="505" spans="3:4" ht="12.75">
      <c r="C505" s="67"/>
      <c r="D505" s="67"/>
    </row>
    <row r="506" spans="3:4" ht="12.75">
      <c r="C506" s="67"/>
      <c r="D506" s="67"/>
    </row>
    <row r="507" spans="3:4" ht="12.75">
      <c r="C507" s="67"/>
      <c r="D507" s="67"/>
    </row>
    <row r="508" spans="3:4" ht="12.75">
      <c r="C508" s="67"/>
      <c r="D508" s="67"/>
    </row>
    <row r="509" spans="3:4" ht="12.75">
      <c r="C509" s="67"/>
      <c r="D509" s="67"/>
    </row>
    <row r="510" spans="3:4" ht="12.75">
      <c r="C510" s="67"/>
      <c r="D510" s="67"/>
    </row>
    <row r="511" spans="3:4" ht="12.75">
      <c r="C511" s="67"/>
      <c r="D511" s="67"/>
    </row>
    <row r="512" spans="3:4" ht="12.75">
      <c r="C512" s="67"/>
      <c r="D512" s="67"/>
    </row>
    <row r="513" spans="3:4" ht="12.75">
      <c r="C513" s="67"/>
      <c r="D513" s="67"/>
    </row>
    <row r="514" spans="3:4" ht="12.75">
      <c r="C514" s="67"/>
      <c r="D514" s="67"/>
    </row>
    <row r="515" spans="3:4" ht="12.75">
      <c r="C515" s="67"/>
      <c r="D515" s="67"/>
    </row>
    <row r="516" spans="3:4" ht="12.75">
      <c r="C516" s="67"/>
      <c r="D516" s="67"/>
    </row>
    <row r="517" spans="3:4" ht="12.75">
      <c r="C517" s="67"/>
      <c r="D517" s="67"/>
    </row>
    <row r="518" spans="3:4" ht="12.75">
      <c r="C518" s="67"/>
      <c r="D518" s="67"/>
    </row>
    <row r="519" spans="3:4" ht="12.75">
      <c r="C519" s="67"/>
      <c r="D519" s="67"/>
    </row>
    <row r="520" spans="3:4" ht="12.75">
      <c r="C520" s="67"/>
      <c r="D520" s="67"/>
    </row>
    <row r="521" spans="3:4" ht="12.75">
      <c r="C521" s="67"/>
      <c r="D521" s="67"/>
    </row>
    <row r="522" spans="3:4" ht="12.75">
      <c r="C522" s="67"/>
      <c r="D522" s="67"/>
    </row>
    <row r="523" spans="3:4" ht="12.75">
      <c r="C523" s="67"/>
      <c r="D523" s="67"/>
    </row>
    <row r="524" spans="3:4" ht="12.75">
      <c r="C524" s="67"/>
      <c r="D524" s="67"/>
    </row>
    <row r="525" spans="3:4" ht="12.75">
      <c r="C525" s="67"/>
      <c r="D525" s="67"/>
    </row>
    <row r="526" spans="3:4" ht="12.75">
      <c r="C526" s="67"/>
      <c r="D526" s="67"/>
    </row>
    <row r="527" spans="3:4" ht="12.75">
      <c r="C527" s="67"/>
      <c r="D527" s="67"/>
    </row>
    <row r="528" spans="3:4" ht="12.75">
      <c r="C528" s="67"/>
      <c r="D528" s="67"/>
    </row>
    <row r="529" spans="3:4" ht="12.75">
      <c r="C529" s="67"/>
      <c r="D529" s="67"/>
    </row>
    <row r="530" spans="3:4" ht="12.75">
      <c r="C530" s="67"/>
      <c r="D530" s="67"/>
    </row>
    <row r="531" spans="3:4" ht="12.75">
      <c r="C531" s="67"/>
      <c r="D531" s="67"/>
    </row>
    <row r="532" spans="3:4" ht="12.75">
      <c r="C532" s="67"/>
      <c r="D532" s="67"/>
    </row>
    <row r="533" spans="3:4" ht="12.75">
      <c r="C533" s="67"/>
      <c r="D533" s="67"/>
    </row>
    <row r="534" spans="3:4" ht="12.75">
      <c r="C534" s="67"/>
      <c r="D534" s="67"/>
    </row>
    <row r="535" spans="3:4" ht="12.75">
      <c r="C535" s="67"/>
      <c r="D535" s="67"/>
    </row>
    <row r="536" spans="3:4" ht="12.75">
      <c r="C536" s="67"/>
      <c r="D536" s="67"/>
    </row>
    <row r="537" spans="3:4" ht="12.75">
      <c r="C537" s="67"/>
      <c r="D537" s="67"/>
    </row>
    <row r="538" spans="3:4" ht="12.75">
      <c r="C538" s="67"/>
      <c r="D538" s="67"/>
    </row>
    <row r="539" spans="3:4" ht="12.75">
      <c r="C539" s="67"/>
      <c r="D539" s="67"/>
    </row>
    <row r="540" spans="3:4" ht="12.75">
      <c r="C540" s="67"/>
      <c r="D540" s="67"/>
    </row>
    <row r="541" spans="3:4" ht="12.75">
      <c r="C541" s="67"/>
      <c r="D541" s="67"/>
    </row>
    <row r="542" spans="3:4" ht="12.75">
      <c r="C542" s="67"/>
      <c r="D542" s="67"/>
    </row>
    <row r="543" spans="3:4" ht="12.75">
      <c r="C543" s="67"/>
      <c r="D543" s="67"/>
    </row>
    <row r="544" spans="3:4" ht="12.75">
      <c r="C544" s="67"/>
      <c r="D544" s="67"/>
    </row>
    <row r="545" spans="3:4" ht="12.75">
      <c r="C545" s="67"/>
      <c r="D545" s="67"/>
    </row>
    <row r="546" spans="3:4" ht="12.75">
      <c r="C546" s="67"/>
      <c r="D546" s="67"/>
    </row>
    <row r="547" spans="3:4" ht="12.75">
      <c r="C547" s="67"/>
      <c r="D547" s="67"/>
    </row>
    <row r="548" spans="3:4" ht="12.75">
      <c r="C548" s="67"/>
      <c r="D548" s="67"/>
    </row>
    <row r="549" spans="3:4" ht="12.75">
      <c r="C549" s="67"/>
      <c r="D549" s="67"/>
    </row>
    <row r="550" spans="3:4" ht="12.75">
      <c r="C550" s="67"/>
      <c r="D550" s="67"/>
    </row>
    <row r="551" spans="3:4" ht="12.75">
      <c r="C551" s="67"/>
      <c r="D551" s="67"/>
    </row>
    <row r="552" spans="3:4" ht="12.75">
      <c r="C552" s="67"/>
      <c r="D552" s="67"/>
    </row>
    <row r="553" spans="3:4" ht="12.75">
      <c r="C553" s="67"/>
      <c r="D553" s="67"/>
    </row>
    <row r="554" spans="3:4" ht="12.75">
      <c r="C554" s="67"/>
      <c r="D554" s="67"/>
    </row>
    <row r="555" spans="3:4" ht="12.75">
      <c r="C555" s="67"/>
      <c r="D555" s="67"/>
    </row>
    <row r="556" spans="3:4" ht="12.75">
      <c r="C556" s="67"/>
      <c r="D556" s="67"/>
    </row>
    <row r="557" spans="3:4" ht="12.75">
      <c r="C557" s="67"/>
      <c r="D557" s="67"/>
    </row>
    <row r="558" spans="3:4" ht="12.75">
      <c r="C558" s="67"/>
      <c r="D558" s="67"/>
    </row>
    <row r="559" spans="3:4" ht="12.75">
      <c r="C559" s="67"/>
      <c r="D559" s="67"/>
    </row>
    <row r="560" spans="3:4" ht="12.75">
      <c r="C560" s="67"/>
      <c r="D560" s="67"/>
    </row>
    <row r="561" spans="3:4" ht="12.75">
      <c r="C561" s="67"/>
      <c r="D561" s="67"/>
    </row>
    <row r="562" spans="3:4" ht="12.75">
      <c r="C562" s="67"/>
      <c r="D562" s="67"/>
    </row>
    <row r="563" spans="3:4" ht="12.75">
      <c r="C563" s="67"/>
      <c r="D563" s="67"/>
    </row>
    <row r="564" spans="3:4" ht="12.75">
      <c r="C564" s="67"/>
      <c r="D564" s="67"/>
    </row>
    <row r="565" spans="3:4" ht="12.75">
      <c r="C565" s="67"/>
      <c r="D565" s="67"/>
    </row>
    <row r="566" spans="3:4" ht="12.75">
      <c r="C566" s="67"/>
      <c r="D566" s="67"/>
    </row>
    <row r="567" spans="3:4" ht="12.75">
      <c r="C567" s="67"/>
      <c r="D567" s="67"/>
    </row>
    <row r="568" spans="3:4" ht="12.75">
      <c r="C568" s="67"/>
      <c r="D568" s="67"/>
    </row>
    <row r="569" spans="3:4" ht="12.75">
      <c r="C569" s="67"/>
      <c r="D569" s="67"/>
    </row>
    <row r="570" spans="3:4" ht="12.75">
      <c r="C570" s="67"/>
      <c r="D570" s="67"/>
    </row>
    <row r="571" spans="3:4" ht="12.75">
      <c r="C571" s="67"/>
      <c r="D571" s="67"/>
    </row>
    <row r="572" spans="3:4" ht="12.75">
      <c r="C572" s="67"/>
      <c r="D572" s="67"/>
    </row>
    <row r="573" spans="3:4" ht="12.75">
      <c r="C573" s="67"/>
      <c r="D573" s="67"/>
    </row>
    <row r="574" spans="3:4" ht="12.75">
      <c r="C574" s="67"/>
      <c r="D574" s="67"/>
    </row>
    <row r="575" spans="3:4" ht="12.75">
      <c r="C575" s="67"/>
      <c r="D575" s="67"/>
    </row>
    <row r="576" spans="3:4" ht="12.75">
      <c r="C576" s="67"/>
      <c r="D576" s="67"/>
    </row>
    <row r="577" spans="3:4" ht="12.75">
      <c r="C577" s="67"/>
      <c r="D577" s="67"/>
    </row>
    <row r="578" spans="3:4" ht="12.75">
      <c r="C578" s="67"/>
      <c r="D578" s="67"/>
    </row>
    <row r="579" spans="3:4" ht="12.75">
      <c r="C579" s="67"/>
      <c r="D579" s="67"/>
    </row>
    <row r="580" spans="3:4" ht="12.75">
      <c r="C580" s="67"/>
      <c r="D580" s="67"/>
    </row>
    <row r="581" spans="3:4" ht="12.75">
      <c r="C581" s="67"/>
      <c r="D581" s="67"/>
    </row>
    <row r="582" spans="3:4" ht="12.75">
      <c r="C582" s="67"/>
      <c r="D582" s="67"/>
    </row>
    <row r="583" spans="3:4" ht="12.75">
      <c r="C583" s="67"/>
      <c r="D583" s="67"/>
    </row>
    <row r="584" spans="3:4" ht="12.75">
      <c r="C584" s="67"/>
      <c r="D584" s="67"/>
    </row>
    <row r="585" spans="3:4" ht="12.75">
      <c r="C585" s="67"/>
      <c r="D585" s="67"/>
    </row>
    <row r="586" spans="3:4" ht="12.75">
      <c r="C586" s="67"/>
      <c r="D586" s="67"/>
    </row>
    <row r="587" spans="3:4" ht="12.75">
      <c r="C587" s="67"/>
      <c r="D587" s="67"/>
    </row>
    <row r="588" spans="3:4" ht="12.75">
      <c r="C588" s="67"/>
      <c r="D588" s="67"/>
    </row>
    <row r="589" spans="3:4" ht="12.75">
      <c r="C589" s="67"/>
      <c r="D589" s="67"/>
    </row>
    <row r="590" spans="3:4" ht="12.75">
      <c r="C590" s="67"/>
      <c r="D590" s="67"/>
    </row>
    <row r="591" spans="3:4" ht="12.75">
      <c r="C591" s="67"/>
      <c r="D591" s="67"/>
    </row>
    <row r="592" spans="3:4" ht="12.75">
      <c r="C592" s="67"/>
      <c r="D592" s="67"/>
    </row>
    <row r="593" spans="3:4" ht="12.75">
      <c r="C593" s="67"/>
      <c r="D593" s="67"/>
    </row>
    <row r="594" spans="3:4" ht="12.75">
      <c r="C594" s="67"/>
      <c r="D594" s="67"/>
    </row>
    <row r="595" spans="3:4" ht="12.75">
      <c r="C595" s="67"/>
      <c r="D595" s="67"/>
    </row>
    <row r="596" spans="3:4" ht="12.75">
      <c r="C596" s="67"/>
      <c r="D596" s="67"/>
    </row>
    <row r="597" spans="3:4" ht="12.75">
      <c r="C597" s="67"/>
      <c r="D597" s="67"/>
    </row>
    <row r="598" spans="3:4" ht="12.75">
      <c r="C598" s="67"/>
      <c r="D598" s="67"/>
    </row>
    <row r="599" spans="3:4" ht="12.75">
      <c r="C599" s="67"/>
      <c r="D599" s="67"/>
    </row>
    <row r="600" spans="3:4" ht="12.75">
      <c r="C600" s="67"/>
      <c r="D600" s="67"/>
    </row>
    <row r="601" spans="3:4" ht="12.75">
      <c r="C601" s="67"/>
      <c r="D601" s="67"/>
    </row>
    <row r="602" spans="3:4" ht="12.75">
      <c r="C602" s="67"/>
      <c r="D602" s="67"/>
    </row>
    <row r="603" spans="3:4" ht="12.75">
      <c r="C603" s="67"/>
      <c r="D603" s="67"/>
    </row>
    <row r="604" spans="3:4" ht="12.75">
      <c r="C604" s="67"/>
      <c r="D604" s="67"/>
    </row>
    <row r="605" spans="3:4" ht="12.75">
      <c r="C605" s="67"/>
      <c r="D605" s="67"/>
    </row>
    <row r="606" spans="3:4" ht="12.75">
      <c r="C606" s="67"/>
      <c r="D606" s="67"/>
    </row>
    <row r="607" spans="3:4" ht="12.75">
      <c r="C607" s="67"/>
      <c r="D607" s="67"/>
    </row>
    <row r="608" spans="3:4" ht="12.75">
      <c r="C608" s="67"/>
      <c r="D608" s="67"/>
    </row>
    <row r="609" spans="3:4" ht="12.75">
      <c r="C609" s="67"/>
      <c r="D609" s="67"/>
    </row>
    <row r="610" spans="3:4" ht="12.75">
      <c r="C610" s="67"/>
      <c r="D610" s="67"/>
    </row>
    <row r="611" spans="3:4" ht="12.75">
      <c r="C611" s="67"/>
      <c r="D611" s="67"/>
    </row>
    <row r="612" spans="3:4" ht="12.75">
      <c r="C612" s="67"/>
      <c r="D612" s="67"/>
    </row>
    <row r="613" spans="3:4" ht="12.75">
      <c r="C613" s="67"/>
      <c r="D613" s="67"/>
    </row>
    <row r="614" spans="3:4" ht="12.75">
      <c r="C614" s="67"/>
      <c r="D614" s="67"/>
    </row>
    <row r="615" spans="3:4" ht="12.75">
      <c r="C615" s="67"/>
      <c r="D615" s="67"/>
    </row>
    <row r="616" spans="3:4" ht="12.75">
      <c r="C616" s="67"/>
      <c r="D616" s="67"/>
    </row>
    <row r="617" spans="3:4" ht="12.75">
      <c r="C617" s="67"/>
      <c r="D617" s="67"/>
    </row>
    <row r="618" spans="3:4" ht="12.75">
      <c r="C618" s="67"/>
      <c r="D618" s="67"/>
    </row>
    <row r="619" spans="3:4" ht="12.75">
      <c r="C619" s="67"/>
      <c r="D619" s="67"/>
    </row>
    <row r="620" spans="3:4" ht="12.75">
      <c r="C620" s="67"/>
      <c r="D620" s="67"/>
    </row>
    <row r="621" spans="3:4" ht="12.75">
      <c r="C621" s="67"/>
      <c r="D621" s="67"/>
    </row>
    <row r="622" spans="3:4" ht="12.75">
      <c r="C622" s="67"/>
      <c r="D622" s="67"/>
    </row>
    <row r="623" spans="3:4" ht="12.75">
      <c r="C623" s="67"/>
      <c r="D623" s="67"/>
    </row>
    <row r="624" spans="3:4" ht="12.75">
      <c r="C624" s="67"/>
      <c r="D624" s="67"/>
    </row>
    <row r="625" spans="3:4" ht="12.75">
      <c r="C625" s="67"/>
      <c r="D625" s="67"/>
    </row>
    <row r="626" spans="3:4" ht="12.75">
      <c r="C626" s="67"/>
      <c r="D626" s="67"/>
    </row>
    <row r="627" spans="3:4" ht="12.75">
      <c r="C627" s="67"/>
      <c r="D627" s="67"/>
    </row>
    <row r="628" spans="3:4" ht="12.75">
      <c r="C628" s="67"/>
      <c r="D628" s="67"/>
    </row>
    <row r="629" spans="3:4" ht="12.75">
      <c r="C629" s="67"/>
      <c r="D629" s="67"/>
    </row>
    <row r="630" spans="3:4" ht="12.75">
      <c r="C630" s="67"/>
      <c r="D630" s="67"/>
    </row>
    <row r="631" spans="3:4" ht="12.75">
      <c r="C631" s="67"/>
      <c r="D631" s="67"/>
    </row>
    <row r="632" spans="3:4" ht="12.75">
      <c r="C632" s="67"/>
      <c r="D632" s="67"/>
    </row>
    <row r="633" spans="3:4" ht="12.75">
      <c r="C633" s="67"/>
      <c r="D633" s="67"/>
    </row>
    <row r="634" spans="3:4" ht="12.75">
      <c r="C634" s="67"/>
      <c r="D634" s="67"/>
    </row>
    <row r="635" spans="3:4" ht="12.75">
      <c r="C635" s="67"/>
      <c r="D635" s="67"/>
    </row>
    <row r="636" spans="3:4" ht="12.75">
      <c r="C636" s="67"/>
      <c r="D636" s="67"/>
    </row>
    <row r="637" spans="3:4" ht="12.75">
      <c r="C637" s="67"/>
      <c r="D637" s="67"/>
    </row>
    <row r="638" spans="3:4" ht="12.75">
      <c r="C638" s="67"/>
      <c r="D638" s="67"/>
    </row>
    <row r="639" spans="3:4" ht="12.75">
      <c r="C639" s="67"/>
      <c r="D639" s="67"/>
    </row>
    <row r="640" spans="3:4" ht="12.75">
      <c r="C640" s="67"/>
      <c r="D640" s="67"/>
    </row>
    <row r="641" spans="3:4" ht="12.75">
      <c r="C641" s="67"/>
      <c r="D641" s="67"/>
    </row>
    <row r="642" spans="3:4" ht="12.75">
      <c r="C642" s="67"/>
      <c r="D642" s="67"/>
    </row>
    <row r="643" spans="3:4" ht="12.75">
      <c r="C643" s="67"/>
      <c r="D643" s="67"/>
    </row>
    <row r="644" spans="3:4" ht="12.75">
      <c r="C644" s="67"/>
      <c r="D644" s="67"/>
    </row>
    <row r="645" spans="3:4" ht="12.75">
      <c r="C645" s="67"/>
      <c r="D645" s="67"/>
    </row>
    <row r="646" spans="3:4" ht="12.75">
      <c r="C646" s="67"/>
      <c r="D646" s="67"/>
    </row>
    <row r="647" spans="3:4" ht="12.75">
      <c r="C647" s="67"/>
      <c r="D647" s="67"/>
    </row>
    <row r="648" spans="3:4" ht="12.75">
      <c r="C648" s="67"/>
      <c r="D648" s="67"/>
    </row>
    <row r="649" spans="3:4" ht="12.75">
      <c r="C649" s="67"/>
      <c r="D649" s="67"/>
    </row>
    <row r="650" spans="3:4" ht="12.75">
      <c r="C650" s="67"/>
      <c r="D650" s="67"/>
    </row>
    <row r="651" spans="3:4" ht="12.75">
      <c r="C651" s="67"/>
      <c r="D651" s="67"/>
    </row>
    <row r="652" spans="3:4" ht="12.75">
      <c r="C652" s="67"/>
      <c r="D652" s="67"/>
    </row>
    <row r="653" spans="3:4" ht="12.75">
      <c r="C653" s="67"/>
      <c r="D653" s="67"/>
    </row>
    <row r="654" spans="3:4" ht="12.75">
      <c r="C654" s="67"/>
      <c r="D654" s="67"/>
    </row>
    <row r="655" spans="3:4" ht="12.75">
      <c r="C655" s="67"/>
      <c r="D655" s="67"/>
    </row>
    <row r="656" spans="3:4" ht="12.75">
      <c r="C656" s="67"/>
      <c r="D656" s="67"/>
    </row>
    <row r="657" spans="3:4" ht="12.75">
      <c r="C657" s="67"/>
      <c r="D657" s="67"/>
    </row>
    <row r="658" spans="3:4" ht="12.75">
      <c r="C658" s="67"/>
      <c r="D658" s="67"/>
    </row>
    <row r="659" spans="3:4" ht="12.75">
      <c r="C659" s="67"/>
      <c r="D659" s="67"/>
    </row>
    <row r="660" spans="3:4" ht="12.75">
      <c r="C660" s="67"/>
      <c r="D660" s="67"/>
    </row>
    <row r="661" spans="3:4" ht="12.75">
      <c r="C661" s="67"/>
      <c r="D661" s="67"/>
    </row>
    <row r="662" spans="3:4" ht="12.75">
      <c r="C662" s="67"/>
      <c r="D662" s="67"/>
    </row>
    <row r="663" spans="3:4" ht="12.75">
      <c r="C663" s="67"/>
      <c r="D663" s="67"/>
    </row>
    <row r="664" spans="3:4" ht="12.75">
      <c r="C664" s="67"/>
      <c r="D664" s="67"/>
    </row>
    <row r="665" spans="3:4" ht="12.75">
      <c r="C665" s="67"/>
      <c r="D665" s="67"/>
    </row>
    <row r="666" spans="3:4" ht="12.75">
      <c r="C666" s="67"/>
      <c r="D666" s="67"/>
    </row>
    <row r="667" spans="3:4" ht="12.75">
      <c r="C667" s="67"/>
      <c r="D667" s="67"/>
    </row>
    <row r="668" spans="3:4" ht="12.75">
      <c r="C668" s="67"/>
      <c r="D668" s="67"/>
    </row>
    <row r="669" spans="3:4" ht="12.75">
      <c r="C669" s="67"/>
      <c r="D669" s="67"/>
    </row>
    <row r="670" spans="3:4" ht="12.75">
      <c r="C670" s="67"/>
      <c r="D670" s="67"/>
    </row>
    <row r="671" spans="3:4" ht="12.75">
      <c r="C671" s="67"/>
      <c r="D671" s="67"/>
    </row>
    <row r="672" spans="3:4" ht="12.75">
      <c r="C672" s="67"/>
      <c r="D672" s="67"/>
    </row>
    <row r="673" spans="3:4" ht="12.75">
      <c r="C673" s="67"/>
      <c r="D673" s="67"/>
    </row>
    <row r="674" spans="3:4" ht="12.75">
      <c r="C674" s="67"/>
      <c r="D674" s="67"/>
    </row>
    <row r="675" spans="3:4" ht="12.75">
      <c r="C675" s="67"/>
      <c r="D675" s="67"/>
    </row>
    <row r="676" spans="3:4" ht="12.75">
      <c r="C676" s="67"/>
      <c r="D676" s="67"/>
    </row>
    <row r="677" spans="3:4" ht="12.75">
      <c r="C677" s="67"/>
      <c r="D677" s="67"/>
    </row>
    <row r="678" spans="3:4" ht="12.75">
      <c r="C678" s="67"/>
      <c r="D678" s="67"/>
    </row>
    <row r="679" spans="3:4" ht="12.75">
      <c r="C679" s="67"/>
      <c r="D679" s="67"/>
    </row>
    <row r="680" spans="3:4" ht="12.75">
      <c r="C680" s="67"/>
      <c r="D680" s="67"/>
    </row>
    <row r="681" spans="3:4" ht="12.75">
      <c r="C681" s="67"/>
      <c r="D681" s="67"/>
    </row>
    <row r="682" spans="3:4" ht="12.75">
      <c r="C682" s="67"/>
      <c r="D682" s="67"/>
    </row>
    <row r="683" spans="3:4" ht="12.75">
      <c r="C683" s="67"/>
      <c r="D683" s="67"/>
    </row>
    <row r="684" spans="3:4" ht="12.75">
      <c r="C684" s="67"/>
      <c r="D684" s="67"/>
    </row>
    <row r="685" spans="3:4" ht="12.75">
      <c r="C685" s="67"/>
      <c r="D685" s="67"/>
    </row>
    <row r="686" spans="3:4" ht="12.75">
      <c r="C686" s="67"/>
      <c r="D686" s="67"/>
    </row>
    <row r="687" spans="3:4" ht="12.75">
      <c r="C687" s="67"/>
      <c r="D687" s="67"/>
    </row>
    <row r="688" spans="3:4" ht="12.75">
      <c r="C688" s="67"/>
      <c r="D688" s="67"/>
    </row>
    <row r="689" spans="3:4" ht="12.75">
      <c r="C689" s="67"/>
      <c r="D689" s="67"/>
    </row>
    <row r="690" spans="3:4" ht="12.75">
      <c r="C690" s="67"/>
      <c r="D690" s="67"/>
    </row>
    <row r="691" spans="3:4" ht="12.75">
      <c r="C691" s="67"/>
      <c r="D691" s="67"/>
    </row>
    <row r="692" spans="3:4" ht="12.75">
      <c r="C692" s="67"/>
      <c r="D692" s="67"/>
    </row>
    <row r="693" spans="3:4" ht="12.75">
      <c r="C693" s="67"/>
      <c r="D693" s="67"/>
    </row>
    <row r="694" spans="3:4" ht="12.75">
      <c r="C694" s="67"/>
      <c r="D694" s="67"/>
    </row>
    <row r="695" spans="3:4" ht="12.75">
      <c r="C695" s="67"/>
      <c r="D695" s="67"/>
    </row>
    <row r="696" spans="3:4" ht="12.75">
      <c r="C696" s="67"/>
      <c r="D696" s="67"/>
    </row>
    <row r="697" spans="3:4" ht="12.75">
      <c r="C697" s="67"/>
      <c r="D697" s="67"/>
    </row>
    <row r="698" spans="3:4" ht="12.75">
      <c r="C698" s="67"/>
      <c r="D698" s="67"/>
    </row>
    <row r="699" spans="3:4" ht="12.75">
      <c r="C699" s="67"/>
      <c r="D699" s="67"/>
    </row>
    <row r="700" spans="3:4" ht="12.75">
      <c r="C700" s="67"/>
      <c r="D700" s="67"/>
    </row>
    <row r="701" spans="3:4" ht="12.75">
      <c r="C701" s="67"/>
      <c r="D701" s="67"/>
    </row>
    <row r="702" spans="3:4" ht="12.75">
      <c r="C702" s="67"/>
      <c r="D702" s="67"/>
    </row>
    <row r="703" spans="3:4" ht="12.75">
      <c r="C703" s="67"/>
      <c r="D703" s="67"/>
    </row>
    <row r="704" spans="3:4" ht="12.75">
      <c r="C704" s="67"/>
      <c r="D704" s="67"/>
    </row>
    <row r="705" spans="3:4" ht="12.75">
      <c r="C705" s="67"/>
      <c r="D705" s="67"/>
    </row>
    <row r="706" spans="3:4" ht="12.75">
      <c r="C706" s="67"/>
      <c r="D706" s="67"/>
    </row>
    <row r="707" spans="3:4" ht="12.75">
      <c r="C707" s="67"/>
      <c r="D707" s="67"/>
    </row>
    <row r="708" spans="3:4" ht="12.75">
      <c r="C708" s="67"/>
      <c r="D708" s="67"/>
    </row>
    <row r="709" spans="3:4" ht="12.75">
      <c r="C709" s="67"/>
      <c r="D709" s="67"/>
    </row>
    <row r="710" spans="3:4" ht="12.75">
      <c r="C710" s="67"/>
      <c r="D710" s="67"/>
    </row>
    <row r="711" spans="3:4" ht="12.75">
      <c r="C711" s="67"/>
      <c r="D711" s="67"/>
    </row>
    <row r="712" spans="3:4" ht="12.75">
      <c r="C712" s="67"/>
      <c r="D712" s="67"/>
    </row>
    <row r="713" spans="3:4" ht="12.75">
      <c r="C713" s="67"/>
      <c r="D713" s="67"/>
    </row>
    <row r="714" spans="3:4" ht="12.75">
      <c r="C714" s="67"/>
      <c r="D714" s="67"/>
    </row>
    <row r="715" spans="3:4" ht="12.75">
      <c r="C715" s="67"/>
      <c r="D715" s="67"/>
    </row>
    <row r="716" spans="3:4" ht="12.75">
      <c r="C716" s="67"/>
      <c r="D716" s="67"/>
    </row>
    <row r="717" spans="3:4" ht="12.75">
      <c r="C717" s="67"/>
      <c r="D717" s="67"/>
    </row>
    <row r="718" spans="3:4" ht="12.75">
      <c r="C718" s="67"/>
      <c r="D718" s="67"/>
    </row>
    <row r="719" spans="3:4" ht="12.75">
      <c r="C719" s="67"/>
      <c r="D719" s="67"/>
    </row>
    <row r="720" spans="3:4" ht="12.75">
      <c r="C720" s="67"/>
      <c r="D720" s="67"/>
    </row>
    <row r="721" spans="3:4" ht="12.75">
      <c r="C721" s="67"/>
      <c r="D721" s="67"/>
    </row>
    <row r="722" spans="3:4" ht="12.75">
      <c r="C722" s="67"/>
      <c r="D722" s="67"/>
    </row>
    <row r="723" spans="3:4" ht="12.75">
      <c r="C723" s="67"/>
      <c r="D723" s="67"/>
    </row>
    <row r="724" spans="3:4" ht="12.75">
      <c r="C724" s="67"/>
      <c r="D724" s="67"/>
    </row>
    <row r="725" spans="3:4" ht="12.75">
      <c r="C725" s="67"/>
      <c r="D725" s="67"/>
    </row>
    <row r="726" spans="3:4" ht="12.75">
      <c r="C726" s="67"/>
      <c r="D726" s="67"/>
    </row>
    <row r="727" spans="3:4" ht="12.75">
      <c r="C727" s="67"/>
      <c r="D727" s="67"/>
    </row>
    <row r="728" spans="3:4" ht="12.75">
      <c r="C728" s="67"/>
      <c r="D728" s="67"/>
    </row>
    <row r="729" spans="3:4" ht="12.75">
      <c r="C729" s="67"/>
      <c r="D729" s="67"/>
    </row>
    <row r="730" spans="3:4" ht="12.75">
      <c r="C730" s="67"/>
      <c r="D730" s="67"/>
    </row>
    <row r="731" spans="3:4" ht="12.75">
      <c r="C731" s="67"/>
      <c r="D731" s="67"/>
    </row>
    <row r="732" spans="3:4" ht="12.75">
      <c r="C732" s="67"/>
      <c r="D732" s="67"/>
    </row>
    <row r="733" spans="3:4" ht="12.75">
      <c r="C733" s="67"/>
      <c r="D733" s="67"/>
    </row>
    <row r="734" spans="3:4" ht="12.75">
      <c r="C734" s="67"/>
      <c r="D734" s="67"/>
    </row>
    <row r="735" spans="3:4" ht="12.75">
      <c r="C735" s="67"/>
      <c r="D735" s="67"/>
    </row>
    <row r="736" spans="3:4" ht="12.75">
      <c r="C736" s="67"/>
      <c r="D736" s="67"/>
    </row>
    <row r="737" spans="3:4" ht="12.75">
      <c r="C737" s="67"/>
      <c r="D737" s="67"/>
    </row>
    <row r="738" spans="3:4" ht="12.75">
      <c r="C738" s="67"/>
      <c r="D738" s="67"/>
    </row>
    <row r="739" spans="3:4" ht="12.75">
      <c r="C739" s="67"/>
      <c r="D739" s="67"/>
    </row>
    <row r="740" spans="3:4" ht="12.75">
      <c r="C740" s="67"/>
      <c r="D740" s="67"/>
    </row>
    <row r="741" spans="3:4" ht="12.75">
      <c r="C741" s="67"/>
      <c r="D741" s="67"/>
    </row>
    <row r="742" spans="3:4" ht="12.75">
      <c r="C742" s="67"/>
      <c r="D742" s="67"/>
    </row>
    <row r="743" spans="3:4" ht="12.75">
      <c r="C743" s="67"/>
      <c r="D743" s="67"/>
    </row>
    <row r="744" spans="3:4" ht="12.75">
      <c r="C744" s="67"/>
      <c r="D744" s="67"/>
    </row>
    <row r="745" spans="3:4" ht="12.75">
      <c r="C745" s="67"/>
      <c r="D745" s="67"/>
    </row>
    <row r="746" spans="3:4" ht="12.75">
      <c r="C746" s="67"/>
      <c r="D746" s="67"/>
    </row>
    <row r="747" spans="3:4" ht="12.75">
      <c r="C747" s="67"/>
      <c r="D747" s="67"/>
    </row>
    <row r="748" spans="3:4" ht="12.75">
      <c r="C748" s="67"/>
      <c r="D748" s="67"/>
    </row>
    <row r="749" spans="3:4" ht="12.75">
      <c r="C749" s="67"/>
      <c r="D749" s="67"/>
    </row>
    <row r="750" spans="3:4" ht="12.75">
      <c r="C750" s="67"/>
      <c r="D750" s="67"/>
    </row>
    <row r="751" spans="3:4" ht="12.75">
      <c r="C751" s="67"/>
      <c r="D751" s="67"/>
    </row>
    <row r="752" spans="3:4" ht="12.75">
      <c r="C752" s="67"/>
      <c r="D752" s="67"/>
    </row>
    <row r="753" spans="3:4" ht="12.75">
      <c r="C753" s="67"/>
      <c r="D753" s="67"/>
    </row>
    <row r="754" spans="3:4" ht="12.75">
      <c r="C754" s="67"/>
      <c r="D754" s="67"/>
    </row>
    <row r="755" spans="3:4" ht="12.75">
      <c r="C755" s="67"/>
      <c r="D755" s="67"/>
    </row>
    <row r="756" spans="3:4" ht="12.75">
      <c r="C756" s="67"/>
      <c r="D756" s="67"/>
    </row>
    <row r="757" spans="3:4" ht="12.75">
      <c r="C757" s="67"/>
      <c r="D757" s="67"/>
    </row>
    <row r="758" spans="3:4" ht="12.75">
      <c r="C758" s="67"/>
      <c r="D758" s="67"/>
    </row>
    <row r="759" spans="3:4" ht="12.75">
      <c r="C759" s="67"/>
      <c r="D759" s="67"/>
    </row>
    <row r="760" spans="3:4" ht="12.75">
      <c r="C760" s="67"/>
      <c r="D760" s="67"/>
    </row>
    <row r="761" spans="3:4" ht="12.75">
      <c r="C761" s="67"/>
      <c r="D761" s="67"/>
    </row>
    <row r="762" spans="3:4" ht="12.75">
      <c r="C762" s="67"/>
      <c r="D762" s="67"/>
    </row>
    <row r="763" spans="3:4" ht="12.75">
      <c r="C763" s="67"/>
      <c r="D763" s="67"/>
    </row>
    <row r="764" spans="3:4" ht="12.75">
      <c r="C764" s="67"/>
      <c r="D764" s="67"/>
    </row>
    <row r="765" spans="3:4" ht="12.75">
      <c r="C765" s="67"/>
      <c r="D765" s="67"/>
    </row>
    <row r="766" spans="3:4" ht="12.75">
      <c r="C766" s="67"/>
      <c r="D766" s="67"/>
    </row>
    <row r="767" spans="3:4" ht="12.75">
      <c r="C767" s="67"/>
      <c r="D767" s="67"/>
    </row>
    <row r="768" spans="3:4" ht="12.75">
      <c r="C768" s="67"/>
      <c r="D768" s="67"/>
    </row>
    <row r="769" spans="3:4" ht="12.75">
      <c r="C769" s="67"/>
      <c r="D769" s="67"/>
    </row>
    <row r="770" spans="3:4" ht="12.75">
      <c r="C770" s="67"/>
      <c r="D770" s="67"/>
    </row>
    <row r="771" spans="3:4" ht="12.75">
      <c r="C771" s="67"/>
      <c r="D771" s="67"/>
    </row>
    <row r="772" spans="3:4" ht="12.75">
      <c r="C772" s="67"/>
      <c r="D772" s="67"/>
    </row>
    <row r="773" spans="3:4" ht="12.75">
      <c r="C773" s="67"/>
      <c r="D773" s="67"/>
    </row>
    <row r="774" spans="3:4" ht="12.75">
      <c r="C774" s="67"/>
      <c r="D774" s="67"/>
    </row>
    <row r="775" spans="3:4" ht="12.75">
      <c r="C775" s="67"/>
      <c r="D775" s="67"/>
    </row>
    <row r="776" spans="3:4" ht="12.75">
      <c r="C776" s="67"/>
      <c r="D776" s="67"/>
    </row>
    <row r="777" spans="3:4" ht="12.75">
      <c r="C777" s="67"/>
      <c r="D777" s="67"/>
    </row>
    <row r="778" spans="3:4" ht="12.75">
      <c r="C778" s="67"/>
      <c r="D778" s="67"/>
    </row>
    <row r="779" spans="3:4" ht="12.75">
      <c r="C779" s="67"/>
      <c r="D779" s="67"/>
    </row>
    <row r="780" spans="3:4" ht="12.75">
      <c r="C780" s="67"/>
      <c r="D780" s="67"/>
    </row>
    <row r="781" spans="3:4" ht="12.75">
      <c r="C781" s="67"/>
      <c r="D781" s="67"/>
    </row>
    <row r="782" spans="3:4" ht="12.75">
      <c r="C782" s="67"/>
      <c r="D782" s="67"/>
    </row>
    <row r="783" spans="3:4" ht="12.75">
      <c r="C783" s="67"/>
      <c r="D783" s="67"/>
    </row>
    <row r="784" spans="3:4" ht="12.75">
      <c r="C784" s="67"/>
      <c r="D784" s="67"/>
    </row>
    <row r="785" spans="3:4" ht="12.75">
      <c r="C785" s="67"/>
      <c r="D785" s="67"/>
    </row>
    <row r="786" spans="3:4" ht="12.75">
      <c r="C786" s="67"/>
      <c r="D786" s="67"/>
    </row>
    <row r="787" spans="3:4" ht="12.75">
      <c r="C787" s="67"/>
      <c r="D787" s="67"/>
    </row>
    <row r="788" spans="3:4" ht="12.75">
      <c r="C788" s="67"/>
      <c r="D788" s="67"/>
    </row>
    <row r="789" spans="3:4" ht="12.75">
      <c r="C789" s="67"/>
      <c r="D789" s="67"/>
    </row>
    <row r="790" spans="3:4" ht="12.75">
      <c r="C790" s="67"/>
      <c r="D790" s="67"/>
    </row>
    <row r="791" spans="3:4" ht="12.75">
      <c r="C791" s="67"/>
      <c r="D791" s="67"/>
    </row>
    <row r="792" spans="3:4" ht="12.75">
      <c r="C792" s="67"/>
      <c r="D792" s="67"/>
    </row>
    <row r="793" spans="3:4" ht="12.75">
      <c r="C793" s="67"/>
      <c r="D793" s="67"/>
    </row>
    <row r="794" spans="3:4" ht="12.75">
      <c r="C794" s="67"/>
      <c r="D794" s="67"/>
    </row>
    <row r="795" spans="3:4" ht="12.75">
      <c r="C795" s="67"/>
      <c r="D795" s="67"/>
    </row>
    <row r="796" spans="3:4" ht="12.75">
      <c r="C796" s="67"/>
      <c r="D796" s="67"/>
    </row>
    <row r="797" spans="3:4" ht="12.75">
      <c r="C797" s="67"/>
      <c r="D797" s="67"/>
    </row>
    <row r="798" spans="3:4" ht="12.75">
      <c r="C798" s="67"/>
      <c r="D798" s="67"/>
    </row>
    <row r="799" spans="3:4" ht="12.75">
      <c r="C799" s="67"/>
      <c r="D799" s="67"/>
    </row>
    <row r="800" spans="3:4" ht="12.75">
      <c r="C800" s="67"/>
      <c r="D800" s="67"/>
    </row>
    <row r="801" spans="3:4" ht="12.75">
      <c r="C801" s="67"/>
      <c r="D801" s="67"/>
    </row>
    <row r="802" spans="3:4" ht="12.75">
      <c r="C802" s="67"/>
      <c r="D802" s="67"/>
    </row>
    <row r="803" spans="3:4" ht="12.75">
      <c r="C803" s="67"/>
      <c r="D803" s="67"/>
    </row>
    <row r="804" spans="3:4" ht="12.75">
      <c r="C804" s="67"/>
      <c r="D804" s="67"/>
    </row>
    <row r="805" spans="3:4" ht="12.75">
      <c r="C805" s="67"/>
      <c r="D805" s="67"/>
    </row>
    <row r="806" spans="3:4" ht="12.75">
      <c r="C806" s="67"/>
      <c r="D806" s="67"/>
    </row>
    <row r="807" spans="3:4" ht="12.75">
      <c r="C807" s="67"/>
      <c r="D807" s="67"/>
    </row>
    <row r="808" spans="3:4" ht="12.75">
      <c r="C808" s="67"/>
      <c r="D808" s="67"/>
    </row>
    <row r="809" spans="3:4" ht="12.75">
      <c r="C809" s="67"/>
      <c r="D809" s="67"/>
    </row>
    <row r="810" spans="3:4" ht="12.75">
      <c r="C810" s="67"/>
      <c r="D810" s="67"/>
    </row>
    <row r="811" spans="3:4" ht="12.75">
      <c r="C811" s="67"/>
      <c r="D811" s="67"/>
    </row>
    <row r="812" spans="3:4" ht="12.75">
      <c r="C812" s="67"/>
      <c r="D812" s="67"/>
    </row>
    <row r="813" spans="3:4" ht="12.75">
      <c r="C813" s="67"/>
      <c r="D813" s="67"/>
    </row>
    <row r="814" spans="3:4" ht="12.75">
      <c r="C814" s="67"/>
      <c r="D814" s="67"/>
    </row>
    <row r="815" spans="3:4" ht="12.75">
      <c r="C815" s="67"/>
      <c r="D815" s="67"/>
    </row>
    <row r="816" spans="3:4" ht="12.75">
      <c r="C816" s="67"/>
      <c r="D816" s="67"/>
    </row>
    <row r="817" spans="3:4" ht="12.75">
      <c r="C817" s="67"/>
      <c r="D817" s="67"/>
    </row>
    <row r="818" spans="3:4" ht="12.75">
      <c r="C818" s="67"/>
      <c r="D818" s="67"/>
    </row>
    <row r="819" spans="3:4" ht="12.75">
      <c r="C819" s="67"/>
      <c r="D819" s="67"/>
    </row>
    <row r="820" spans="3:4" ht="12.75">
      <c r="C820" s="67"/>
      <c r="D820" s="67"/>
    </row>
    <row r="821" spans="3:4" ht="12.75">
      <c r="C821" s="67"/>
      <c r="D821" s="67"/>
    </row>
    <row r="822" spans="3:4" ht="12.75">
      <c r="C822" s="67"/>
      <c r="D822" s="67"/>
    </row>
    <row r="823" spans="3:4" ht="12.75">
      <c r="C823" s="67"/>
      <c r="D823" s="67"/>
    </row>
    <row r="824" spans="3:4" ht="12.75">
      <c r="C824" s="67"/>
      <c r="D824" s="67"/>
    </row>
    <row r="825" spans="3:4" ht="12.75">
      <c r="C825" s="67"/>
      <c r="D825" s="67"/>
    </row>
    <row r="826" spans="3:4" ht="12.75">
      <c r="C826" s="67"/>
      <c r="D826" s="67"/>
    </row>
    <row r="827" spans="3:4" ht="12.75">
      <c r="C827" s="67"/>
      <c r="D827" s="67"/>
    </row>
    <row r="828" spans="3:4" ht="12.75">
      <c r="C828" s="67"/>
      <c r="D828" s="67"/>
    </row>
    <row r="829" spans="3:4" ht="12.75">
      <c r="C829" s="67"/>
      <c r="D829" s="67"/>
    </row>
    <row r="830" spans="3:4" ht="12.75">
      <c r="C830" s="67"/>
      <c r="D830" s="67"/>
    </row>
    <row r="831" spans="3:4" ht="12.75">
      <c r="C831" s="67"/>
      <c r="D831" s="67"/>
    </row>
    <row r="832" spans="3:4" ht="12.75">
      <c r="C832" s="67"/>
      <c r="D832" s="67"/>
    </row>
    <row r="833" spans="3:4" ht="12.75">
      <c r="C833" s="67"/>
      <c r="D833" s="67"/>
    </row>
    <row r="834" spans="3:4" ht="12.75">
      <c r="C834" s="67"/>
      <c r="D834" s="67"/>
    </row>
    <row r="835" spans="3:4" ht="12.75">
      <c r="C835" s="67"/>
      <c r="D835" s="67"/>
    </row>
    <row r="836" spans="3:4" ht="12.75">
      <c r="C836" s="67"/>
      <c r="D836" s="67"/>
    </row>
    <row r="837" spans="3:4" ht="12.75">
      <c r="C837" s="67"/>
      <c r="D837" s="67"/>
    </row>
    <row r="838" spans="3:4" ht="12.75">
      <c r="C838" s="67"/>
      <c r="D838" s="67"/>
    </row>
    <row r="839" spans="3:4" ht="12.75">
      <c r="C839" s="67"/>
      <c r="D839" s="67"/>
    </row>
    <row r="840" spans="3:4" ht="12.75">
      <c r="C840" s="67"/>
      <c r="D840" s="67"/>
    </row>
    <row r="841" spans="3:4" ht="12.75">
      <c r="C841" s="67"/>
      <c r="D841" s="67"/>
    </row>
    <row r="842" spans="3:4" ht="12.75">
      <c r="C842" s="67"/>
      <c r="D842" s="67"/>
    </row>
    <row r="843" spans="3:4" ht="12.75">
      <c r="C843" s="67"/>
      <c r="D843" s="67"/>
    </row>
    <row r="844" spans="3:4" ht="12.75">
      <c r="C844" s="67"/>
      <c r="D844" s="67"/>
    </row>
    <row r="845" spans="3:4" ht="12.75">
      <c r="C845" s="67"/>
      <c r="D845" s="67"/>
    </row>
    <row r="846" spans="3:4" ht="12.75">
      <c r="C846" s="67"/>
      <c r="D846" s="67"/>
    </row>
    <row r="847" spans="3:4" ht="12.75">
      <c r="C847" s="67"/>
      <c r="D847" s="67"/>
    </row>
    <row r="848" spans="3:4" ht="12.75">
      <c r="C848" s="67"/>
      <c r="D848" s="67"/>
    </row>
    <row r="849" spans="3:4" ht="12.75">
      <c r="C849" s="67"/>
      <c r="D849" s="67"/>
    </row>
    <row r="850" spans="3:4" ht="12.75">
      <c r="C850" s="67"/>
      <c r="D850" s="67"/>
    </row>
    <row r="851" spans="3:4" ht="12.75">
      <c r="C851" s="67"/>
      <c r="D851" s="67"/>
    </row>
    <row r="852" spans="3:4" ht="12.75">
      <c r="C852" s="67"/>
      <c r="D852" s="67"/>
    </row>
    <row r="853" spans="3:4" ht="12.75">
      <c r="C853" s="67"/>
      <c r="D853" s="67"/>
    </row>
    <row r="854" spans="3:4" ht="12.75">
      <c r="C854" s="67"/>
      <c r="D854" s="67"/>
    </row>
    <row r="855" spans="3:4" ht="12.75">
      <c r="C855" s="67"/>
      <c r="D855" s="67"/>
    </row>
    <row r="856" spans="3:4" ht="12.75">
      <c r="C856" s="67"/>
      <c r="D856" s="67"/>
    </row>
    <row r="857" spans="3:4" ht="12.75">
      <c r="C857" s="67"/>
      <c r="D857" s="67"/>
    </row>
    <row r="858" spans="3:4" ht="12.75">
      <c r="C858" s="67"/>
      <c r="D858" s="67"/>
    </row>
    <row r="859" spans="3:4" ht="12.75">
      <c r="C859" s="67"/>
      <c r="D859" s="67"/>
    </row>
    <row r="860" spans="3:4" ht="12.75">
      <c r="C860" s="67"/>
      <c r="D860" s="67"/>
    </row>
    <row r="861" spans="3:4" ht="12.75">
      <c r="C861" s="67"/>
      <c r="D861" s="67"/>
    </row>
    <row r="862" spans="3:4" ht="12.75">
      <c r="C862" s="67"/>
      <c r="D862" s="67"/>
    </row>
    <row r="863" spans="3:4" ht="12.75">
      <c r="C863" s="67"/>
      <c r="D863" s="67"/>
    </row>
    <row r="864" spans="3:4" ht="12.75">
      <c r="C864" s="67"/>
      <c r="D864" s="67"/>
    </row>
    <row r="865" spans="3:4" ht="12.75">
      <c r="C865" s="67"/>
      <c r="D865" s="67"/>
    </row>
    <row r="866" spans="3:4" ht="12.75">
      <c r="C866" s="67"/>
      <c r="D866" s="67"/>
    </row>
    <row r="867" spans="3:4" ht="12.75">
      <c r="C867" s="67"/>
      <c r="D867" s="67"/>
    </row>
    <row r="868" spans="3:4" ht="12.75">
      <c r="C868" s="67"/>
      <c r="D868" s="67"/>
    </row>
    <row r="869" spans="3:4" ht="12.75">
      <c r="C869" s="67"/>
      <c r="D869" s="67"/>
    </row>
    <row r="870" spans="3:4" ht="12.75">
      <c r="C870" s="67"/>
      <c r="D870" s="67"/>
    </row>
    <row r="871" spans="3:4" ht="12.75">
      <c r="C871" s="67"/>
      <c r="D871" s="67"/>
    </row>
    <row r="872" spans="3:4" ht="12.75">
      <c r="C872" s="67"/>
      <c r="D872" s="67"/>
    </row>
    <row r="873" spans="3:4" ht="12.75">
      <c r="C873" s="67"/>
      <c r="D873" s="67"/>
    </row>
    <row r="874" spans="3:4" ht="12.75">
      <c r="C874" s="67"/>
      <c r="D874" s="67"/>
    </row>
    <row r="875" spans="3:4" ht="12.75">
      <c r="C875" s="67"/>
      <c r="D875" s="67"/>
    </row>
    <row r="876" spans="3:4" ht="12.75">
      <c r="C876" s="67"/>
      <c r="D876" s="67"/>
    </row>
    <row r="877" spans="3:4" ht="12.75">
      <c r="C877" s="67"/>
      <c r="D877" s="67"/>
    </row>
    <row r="878" spans="3:4" ht="12.75">
      <c r="C878" s="67"/>
      <c r="D878" s="67"/>
    </row>
    <row r="879" spans="3:4" ht="12.75">
      <c r="C879" s="67"/>
      <c r="D879" s="67"/>
    </row>
    <row r="880" spans="3:4" ht="12.75">
      <c r="C880" s="67"/>
      <c r="D880" s="67"/>
    </row>
    <row r="881" spans="3:4" ht="12.75">
      <c r="C881" s="67"/>
      <c r="D881" s="67"/>
    </row>
    <row r="882" spans="3:4" ht="12.75">
      <c r="C882" s="67"/>
      <c r="D882" s="67"/>
    </row>
    <row r="883" spans="3:4" ht="12.75">
      <c r="C883" s="67"/>
      <c r="D883" s="67"/>
    </row>
    <row r="884" spans="3:4" ht="12.75">
      <c r="C884" s="67"/>
      <c r="D884" s="67"/>
    </row>
    <row r="885" spans="3:4" ht="12.75">
      <c r="C885" s="67"/>
      <c r="D885" s="67"/>
    </row>
    <row r="886" spans="3:4" ht="12.75">
      <c r="C886" s="67"/>
      <c r="D886" s="67"/>
    </row>
    <row r="887" spans="3:4" ht="12.75">
      <c r="C887" s="67"/>
      <c r="D887" s="67"/>
    </row>
    <row r="888" spans="3:4" ht="12.75">
      <c r="C888" s="67"/>
      <c r="D888" s="67"/>
    </row>
    <row r="889" spans="3:4" ht="12.75">
      <c r="C889" s="67"/>
      <c r="D889" s="67"/>
    </row>
    <row r="890" spans="3:4" ht="12.75">
      <c r="C890" s="67"/>
      <c r="D890" s="67"/>
    </row>
    <row r="891" spans="3:4" ht="12.75">
      <c r="C891" s="67"/>
      <c r="D891" s="67"/>
    </row>
    <row r="892" spans="3:4" ht="12.75">
      <c r="C892" s="67"/>
      <c r="D892" s="67"/>
    </row>
    <row r="893" spans="3:4" ht="12.75">
      <c r="C893" s="67"/>
      <c r="D893" s="67"/>
    </row>
    <row r="894" spans="3:4" ht="12.75">
      <c r="C894" s="67"/>
      <c r="D894" s="67"/>
    </row>
    <row r="895" spans="3:4" ht="12.75">
      <c r="C895" s="67"/>
      <c r="D895" s="67"/>
    </row>
    <row r="896" spans="3:4" ht="12.75">
      <c r="C896" s="67"/>
      <c r="D896" s="67"/>
    </row>
    <row r="897" spans="3:4" ht="12.75">
      <c r="C897" s="67"/>
      <c r="D897" s="67"/>
    </row>
    <row r="898" spans="3:4" ht="12.75">
      <c r="C898" s="67"/>
      <c r="D898" s="67"/>
    </row>
    <row r="899" spans="3:4" ht="12.75">
      <c r="C899" s="67"/>
      <c r="D899" s="67"/>
    </row>
    <row r="900" spans="3:4" ht="12.75">
      <c r="C900" s="67"/>
      <c r="D900" s="67"/>
    </row>
    <row r="901" spans="3:4" ht="12.75">
      <c r="C901" s="67"/>
      <c r="D901" s="67"/>
    </row>
    <row r="902" spans="3:4" ht="12.75">
      <c r="C902" s="67"/>
      <c r="D902" s="67"/>
    </row>
    <row r="903" spans="3:4" ht="12.75">
      <c r="C903" s="67"/>
      <c r="D903" s="67"/>
    </row>
    <row r="904" spans="3:4" ht="12.75">
      <c r="C904" s="67"/>
      <c r="D904" s="67"/>
    </row>
    <row r="905" spans="3:4" ht="12.75">
      <c r="C905" s="67"/>
      <c r="D905" s="67"/>
    </row>
    <row r="906" spans="3:4" ht="12.75">
      <c r="C906" s="67"/>
      <c r="D906" s="67"/>
    </row>
    <row r="907" spans="3:4" ht="12.75">
      <c r="C907" s="67"/>
      <c r="D907" s="67"/>
    </row>
    <row r="908" spans="3:4" ht="12.75">
      <c r="C908" s="67"/>
      <c r="D908" s="67"/>
    </row>
    <row r="909" spans="3:4" ht="12.75">
      <c r="C909" s="67"/>
      <c r="D909" s="67"/>
    </row>
    <row r="910" spans="3:4" ht="12.75">
      <c r="C910" s="67"/>
      <c r="D910" s="67"/>
    </row>
    <row r="911" spans="3:4" ht="12.75">
      <c r="C911" s="67"/>
      <c r="D911" s="67"/>
    </row>
    <row r="912" spans="3:4" ht="12.75">
      <c r="C912" s="67"/>
      <c r="D912" s="67"/>
    </row>
    <row r="913" spans="3:4" ht="12.75">
      <c r="C913" s="67"/>
      <c r="D913" s="67"/>
    </row>
    <row r="914" spans="3:4" ht="12.75">
      <c r="C914" s="67"/>
      <c r="D914" s="67"/>
    </row>
    <row r="915" spans="3:4" ht="12.75">
      <c r="C915" s="67"/>
      <c r="D915" s="67"/>
    </row>
    <row r="916" spans="3:4" ht="12.75">
      <c r="C916" s="67"/>
      <c r="D916" s="67"/>
    </row>
    <row r="917" spans="3:4" ht="12.75">
      <c r="C917" s="67"/>
      <c r="D917" s="67"/>
    </row>
    <row r="918" spans="3:4" ht="12.75">
      <c r="C918" s="67"/>
      <c r="D918" s="67"/>
    </row>
    <row r="919" spans="3:4" ht="12.75">
      <c r="C919" s="67"/>
      <c r="D919" s="67"/>
    </row>
    <row r="920" spans="3:4" ht="12.75">
      <c r="C920" s="67"/>
      <c r="D920" s="67"/>
    </row>
    <row r="921" spans="3:4" ht="12.75">
      <c r="C921" s="67"/>
      <c r="D921" s="67"/>
    </row>
    <row r="922" spans="3:4" ht="12.75">
      <c r="C922" s="67"/>
      <c r="D922" s="67"/>
    </row>
    <row r="923" spans="3:4" ht="12.75">
      <c r="C923" s="67"/>
      <c r="D923" s="67"/>
    </row>
    <row r="924" spans="3:4" ht="12.75">
      <c r="C924" s="67"/>
      <c r="D924" s="67"/>
    </row>
    <row r="925" spans="3:4" ht="12.75">
      <c r="C925" s="67"/>
      <c r="D925" s="67"/>
    </row>
    <row r="926" spans="3:4" ht="12.75">
      <c r="C926" s="67"/>
      <c r="D926" s="67"/>
    </row>
    <row r="927" spans="3:4" ht="12.75">
      <c r="C927" s="67"/>
      <c r="D927" s="67"/>
    </row>
    <row r="928" spans="3:4" ht="12.75">
      <c r="C928" s="67"/>
      <c r="D928" s="67"/>
    </row>
    <row r="929" spans="3:4" ht="12.75">
      <c r="C929" s="67"/>
      <c r="D929" s="67"/>
    </row>
    <row r="930" spans="3:4" ht="12.75">
      <c r="C930" s="67"/>
      <c r="D930" s="67"/>
    </row>
    <row r="931" spans="3:4" ht="12.75">
      <c r="C931" s="67"/>
      <c r="D931" s="67"/>
    </row>
    <row r="932" spans="3:4" ht="12.75">
      <c r="C932" s="67"/>
      <c r="D932" s="67"/>
    </row>
    <row r="933" spans="3:4" ht="12.75">
      <c r="C933" s="67"/>
      <c r="D933" s="67"/>
    </row>
    <row r="934" spans="3:4" ht="12.75">
      <c r="C934" s="67"/>
      <c r="D934" s="67"/>
    </row>
    <row r="935" spans="3:4" ht="12.75">
      <c r="C935" s="67"/>
      <c r="D935" s="67"/>
    </row>
    <row r="936" spans="3:4" ht="12.75">
      <c r="C936" s="67"/>
      <c r="D936" s="67"/>
    </row>
    <row r="937" spans="3:4" ht="12.75">
      <c r="C937" s="67"/>
      <c r="D937" s="67"/>
    </row>
    <row r="938" spans="3:4" ht="12.75">
      <c r="C938" s="67"/>
      <c r="D938" s="67"/>
    </row>
    <row r="939" spans="3:4" ht="12.75">
      <c r="C939" s="67"/>
      <c r="D939" s="67"/>
    </row>
    <row r="940" spans="3:4" ht="12.75">
      <c r="C940" s="67"/>
      <c r="D940" s="67"/>
    </row>
    <row r="941" spans="3:4" ht="12.75">
      <c r="C941" s="67"/>
      <c r="D941" s="67"/>
    </row>
    <row r="942" spans="3:4" ht="12.75">
      <c r="C942" s="67"/>
      <c r="D942" s="67"/>
    </row>
    <row r="943" spans="3:4" ht="12.75">
      <c r="C943" s="67"/>
      <c r="D943" s="67"/>
    </row>
    <row r="944" spans="3:4" ht="12.75">
      <c r="C944" s="67"/>
      <c r="D944" s="67"/>
    </row>
    <row r="945" spans="3:4" ht="12.75">
      <c r="C945" s="67"/>
      <c r="D945" s="67"/>
    </row>
    <row r="946" spans="3:4" ht="12.75">
      <c r="C946" s="67"/>
      <c r="D946" s="67"/>
    </row>
    <row r="947" spans="3:4" ht="12.75">
      <c r="C947" s="67"/>
      <c r="D947" s="67"/>
    </row>
    <row r="948" spans="3:4" ht="12.75">
      <c r="C948" s="67"/>
      <c r="D948" s="67"/>
    </row>
    <row r="949" spans="3:4" ht="12.75">
      <c r="C949" s="67"/>
      <c r="D949" s="67"/>
    </row>
    <row r="950" spans="3:4" ht="12.75">
      <c r="C950" s="67"/>
      <c r="D950" s="67"/>
    </row>
    <row r="951" spans="3:4" ht="12.75">
      <c r="C951" s="67"/>
      <c r="D951" s="67"/>
    </row>
    <row r="952" spans="3:4" ht="12.75">
      <c r="C952" s="67"/>
      <c r="D952" s="67"/>
    </row>
    <row r="953" spans="3:4" ht="12.75">
      <c r="C953" s="67"/>
      <c r="D953" s="67"/>
    </row>
    <row r="954" spans="3:4" ht="12.75">
      <c r="C954" s="67"/>
      <c r="D954" s="67"/>
    </row>
    <row r="955" spans="3:4" ht="12.75">
      <c r="C955" s="67"/>
      <c r="D955" s="67"/>
    </row>
    <row r="956" spans="3:4" ht="12.75">
      <c r="C956" s="67"/>
      <c r="D956" s="67"/>
    </row>
    <row r="957" spans="3:4" ht="12.75">
      <c r="C957" s="67"/>
      <c r="D957" s="67"/>
    </row>
    <row r="958" spans="3:4" ht="12.75">
      <c r="C958" s="67"/>
      <c r="D958" s="67"/>
    </row>
    <row r="959" spans="3:4" ht="12.75">
      <c r="C959" s="67"/>
      <c r="D959" s="67"/>
    </row>
    <row r="960" spans="3:4" ht="12.75">
      <c r="C960" s="67"/>
      <c r="D960" s="67"/>
    </row>
    <row r="961" spans="3:4" ht="12.75">
      <c r="C961" s="67"/>
      <c r="D961" s="67"/>
    </row>
    <row r="962" spans="3:4" ht="12.75">
      <c r="C962" s="67"/>
      <c r="D962" s="67"/>
    </row>
    <row r="963" spans="3:4" ht="12.75">
      <c r="C963" s="67"/>
      <c r="D963" s="67"/>
    </row>
    <row r="964" spans="3:4" ht="12.75">
      <c r="C964" s="67"/>
      <c r="D964" s="67"/>
    </row>
    <row r="965" spans="3:4" ht="12.75">
      <c r="C965" s="67"/>
      <c r="D965" s="67"/>
    </row>
    <row r="966" spans="3:4" ht="12.75">
      <c r="C966" s="67"/>
      <c r="D966" s="67"/>
    </row>
    <row r="967" spans="3:4" ht="12.75">
      <c r="C967" s="67"/>
      <c r="D967" s="67"/>
    </row>
    <row r="968" spans="3:4" ht="12.75">
      <c r="C968" s="67"/>
      <c r="D968" s="67"/>
    </row>
    <row r="969" spans="3:4" ht="12.75">
      <c r="C969" s="67"/>
      <c r="D969" s="67"/>
    </row>
    <row r="970" spans="3:4" ht="12.75">
      <c r="C970" s="67"/>
      <c r="D970" s="67"/>
    </row>
    <row r="971" spans="3:4" ht="12.75">
      <c r="C971" s="67"/>
      <c r="D971" s="67"/>
    </row>
    <row r="972" spans="3:4" ht="12.75">
      <c r="C972" s="67"/>
      <c r="D972" s="67"/>
    </row>
    <row r="973" spans="3:4" ht="12.75">
      <c r="C973" s="67"/>
      <c r="D973" s="67"/>
    </row>
    <row r="974" spans="3:4" ht="12.75">
      <c r="C974" s="67"/>
      <c r="D974" s="67"/>
    </row>
    <row r="975" spans="3:4" ht="12.75">
      <c r="C975" s="67"/>
      <c r="D975" s="67"/>
    </row>
    <row r="976" spans="3:4" ht="12.75">
      <c r="C976" s="67"/>
      <c r="D976" s="67"/>
    </row>
    <row r="977" spans="3:4" ht="12.75">
      <c r="C977" s="67"/>
      <c r="D977" s="67"/>
    </row>
    <row r="978" spans="3:4" ht="12.75">
      <c r="C978" s="67"/>
      <c r="D978" s="67"/>
    </row>
    <row r="979" spans="3:4" ht="12.75">
      <c r="C979" s="67"/>
      <c r="D979" s="67"/>
    </row>
    <row r="980" spans="3:4" ht="12.75">
      <c r="C980" s="67"/>
      <c r="D980" s="67"/>
    </row>
    <row r="981" spans="3:4" ht="12.75">
      <c r="C981" s="67"/>
      <c r="D981" s="67"/>
    </row>
    <row r="982" spans="3:4" ht="12.75">
      <c r="C982" s="67"/>
      <c r="D982" s="67"/>
    </row>
    <row r="983" spans="3:4" ht="12.75">
      <c r="C983" s="67"/>
      <c r="D983" s="67"/>
    </row>
    <row r="984" spans="3:4" ht="12.75">
      <c r="C984" s="67"/>
      <c r="D984" s="67"/>
    </row>
    <row r="985" spans="3:4" ht="12.75">
      <c r="C985" s="67"/>
      <c r="D985" s="67"/>
    </row>
    <row r="986" spans="3:4" ht="12.75">
      <c r="C986" s="67"/>
      <c r="D986" s="67"/>
    </row>
    <row r="987" spans="3:4" ht="12.75">
      <c r="C987" s="67"/>
      <c r="D987" s="67"/>
    </row>
    <row r="988" spans="3:4" ht="12.75">
      <c r="C988" s="67"/>
      <c r="D988" s="67"/>
    </row>
    <row r="989" spans="3:4" ht="12.75">
      <c r="C989" s="67"/>
      <c r="D989" s="67"/>
    </row>
    <row r="990" spans="3:4" ht="12.75">
      <c r="C990" s="67"/>
      <c r="D990" s="67"/>
    </row>
    <row r="991" spans="3:4" ht="12.75">
      <c r="C991" s="67"/>
      <c r="D991" s="67"/>
    </row>
    <row r="992" spans="3:4" ht="12.75">
      <c r="C992" s="67"/>
      <c r="D992" s="67"/>
    </row>
    <row r="993" spans="3:4" ht="12.75">
      <c r="C993" s="67"/>
      <c r="D993" s="67"/>
    </row>
    <row r="994" spans="3:4" ht="12.75">
      <c r="C994" s="67"/>
      <c r="D994" s="67"/>
    </row>
    <row r="995" spans="3:4" ht="12.75">
      <c r="C995" s="67"/>
      <c r="D995" s="67"/>
    </row>
    <row r="996" spans="3:4" ht="12.75">
      <c r="C996" s="67"/>
      <c r="D996" s="67"/>
    </row>
    <row r="997" spans="3:4" ht="12.75">
      <c r="C997" s="67"/>
      <c r="D997" s="67"/>
    </row>
    <row r="998" spans="3:4" ht="12.75">
      <c r="C998" s="67"/>
      <c r="D998" s="67"/>
    </row>
    <row r="999" spans="3:4" ht="12.75">
      <c r="C999" s="67"/>
      <c r="D999" s="67"/>
    </row>
    <row r="1000" spans="3:4" ht="12.75">
      <c r="C1000" s="67"/>
      <c r="D1000" s="67"/>
    </row>
    <row r="1001" spans="3:4" ht="12.75">
      <c r="C1001" s="67"/>
      <c r="D1001" s="67"/>
    </row>
    <row r="1002" spans="3:4" ht="12.75">
      <c r="C1002" s="67"/>
      <c r="D1002" s="67"/>
    </row>
    <row r="1003" spans="3:4" ht="12.75">
      <c r="C1003" s="67"/>
      <c r="D1003" s="67"/>
    </row>
    <row r="1004" spans="3:4" ht="12.75">
      <c r="C1004" s="67"/>
      <c r="D1004" s="67"/>
    </row>
    <row r="1005" spans="3:4" ht="12.75">
      <c r="C1005" s="67"/>
      <c r="D1005" s="67"/>
    </row>
  </sheetData>
  <mergeCells count="9">
    <mergeCell ref="B29:H29"/>
    <mergeCell ref="B33:H33"/>
    <mergeCell ref="B22:H22"/>
    <mergeCell ref="B3:C3"/>
    <mergeCell ref="B8:H8"/>
    <mergeCell ref="B12:H12"/>
    <mergeCell ref="B17:H17"/>
    <mergeCell ref="B18:H18"/>
    <mergeCell ref="E24:H2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22"/>
  <sheetViews>
    <sheetView workbookViewId="0">
      <pane ySplit="130" topLeftCell="A131" activePane="bottomLeft" state="frozen"/>
      <selection pane="bottomLeft" activeCell="B14" sqref="B14"/>
    </sheetView>
  </sheetViews>
  <sheetFormatPr baseColWidth="10" defaultColWidth="12.5703125" defaultRowHeight="15.75" customHeight="1"/>
  <cols>
    <col min="1" max="1" width="19.28515625" customWidth="1"/>
    <col min="2" max="3" width="16.7109375" customWidth="1"/>
    <col min="4" max="4" width="15.5703125" customWidth="1"/>
    <col min="5" max="5" width="13.140625" customWidth="1"/>
  </cols>
  <sheetData>
    <row r="2" spans="1:5" ht="15.75" customHeight="1">
      <c r="A2" s="83" t="s">
        <v>0</v>
      </c>
      <c r="B2" s="84"/>
      <c r="C2" s="84"/>
      <c r="D2" s="84"/>
      <c r="E2" s="84"/>
    </row>
    <row r="3" spans="1:5" ht="12.75">
      <c r="A3" s="1" t="s">
        <v>1</v>
      </c>
      <c r="B3" s="2" t="s">
        <v>2</v>
      </c>
      <c r="C3" s="2" t="s">
        <v>3</v>
      </c>
      <c r="D3" s="3" t="s">
        <v>4</v>
      </c>
      <c r="E3" s="4" t="s">
        <v>42</v>
      </c>
    </row>
    <row r="4" spans="1:5" ht="20.25">
      <c r="A4" s="5" t="s">
        <v>5</v>
      </c>
      <c r="B4" s="3">
        <v>300</v>
      </c>
      <c r="C4" s="3" t="s">
        <v>6</v>
      </c>
      <c r="D4" s="3">
        <v>4.0999999999999996</v>
      </c>
      <c r="E4" s="6">
        <f t="shared" ref="E4:E11" si="0">B4/D4</f>
        <v>73.170731707317074</v>
      </c>
    </row>
    <row r="5" spans="1:5" ht="20.25">
      <c r="A5" s="5" t="s">
        <v>7</v>
      </c>
      <c r="B5" s="3">
        <v>200</v>
      </c>
      <c r="C5" s="3">
        <v>300</v>
      </c>
      <c r="D5" s="3">
        <v>4.0999999999999996</v>
      </c>
      <c r="E5" s="6">
        <f t="shared" si="0"/>
        <v>48.780487804878049</v>
      </c>
    </row>
    <row r="6" spans="1:5" ht="24">
      <c r="A6" s="5" t="s">
        <v>8</v>
      </c>
      <c r="B6" s="3">
        <v>300</v>
      </c>
      <c r="C6" s="3" t="s">
        <v>6</v>
      </c>
      <c r="D6" s="7">
        <v>3</v>
      </c>
      <c r="E6" s="6">
        <f t="shared" si="0"/>
        <v>100</v>
      </c>
    </row>
    <row r="7" spans="1:5" ht="20.25">
      <c r="A7" s="5" t="s">
        <v>9</v>
      </c>
      <c r="B7" s="3">
        <v>200</v>
      </c>
      <c r="C7" s="3" t="s">
        <v>6</v>
      </c>
      <c r="D7" s="3">
        <v>2.4</v>
      </c>
      <c r="E7" s="6">
        <f t="shared" si="0"/>
        <v>83.333333333333343</v>
      </c>
    </row>
    <row r="8" spans="1:5" ht="20.25">
      <c r="A8" s="5" t="s">
        <v>10</v>
      </c>
      <c r="B8" s="3">
        <v>300</v>
      </c>
      <c r="C8" s="3">
        <v>400</v>
      </c>
      <c r="D8" s="3">
        <v>2.4</v>
      </c>
      <c r="E8" s="6">
        <f t="shared" si="0"/>
        <v>125</v>
      </c>
    </row>
    <row r="9" spans="1:5" ht="20.25">
      <c r="A9" s="5" t="s">
        <v>11</v>
      </c>
      <c r="B9" s="3">
        <v>250</v>
      </c>
      <c r="C9" s="3">
        <v>350</v>
      </c>
      <c r="D9" s="3">
        <v>2.4</v>
      </c>
      <c r="E9" s="6">
        <f t="shared" si="0"/>
        <v>104.16666666666667</v>
      </c>
    </row>
    <row r="10" spans="1:5" ht="20.25">
      <c r="A10" s="5" t="s">
        <v>12</v>
      </c>
      <c r="B10" s="3">
        <v>200</v>
      </c>
      <c r="C10" s="3">
        <v>450</v>
      </c>
      <c r="D10" s="3">
        <v>1.4</v>
      </c>
      <c r="E10" s="6">
        <f t="shared" si="0"/>
        <v>142.85714285714286</v>
      </c>
    </row>
    <row r="11" spans="1:5" ht="20.25">
      <c r="A11" s="8" t="s">
        <v>13</v>
      </c>
      <c r="B11" s="9">
        <v>200</v>
      </c>
      <c r="C11" s="9">
        <v>400</v>
      </c>
      <c r="D11" s="9">
        <v>1.4</v>
      </c>
      <c r="E11" s="10">
        <f t="shared" si="0"/>
        <v>142.85714285714286</v>
      </c>
    </row>
    <row r="12" spans="1:5" ht="12.75">
      <c r="A12" s="11"/>
      <c r="B12" s="11"/>
      <c r="C12" s="11"/>
      <c r="D12" s="11"/>
      <c r="E12" s="11"/>
    </row>
    <row r="13" spans="1:5" ht="12.75">
      <c r="A13" s="11"/>
      <c r="B13" s="11"/>
      <c r="C13" s="11"/>
      <c r="D13" s="11"/>
      <c r="E13" s="11"/>
    </row>
    <row r="14" spans="1:5" ht="12.75">
      <c r="A14" s="11"/>
      <c r="B14" s="11"/>
      <c r="C14" s="11"/>
      <c r="D14" s="11"/>
      <c r="E14" s="11"/>
    </row>
    <row r="15" spans="1:5" ht="12.75">
      <c r="A15" s="11"/>
      <c r="B15" s="11"/>
      <c r="C15" s="11"/>
      <c r="D15" s="11"/>
      <c r="E15" s="11"/>
    </row>
    <row r="16" spans="1:5" ht="12.75">
      <c r="A16" s="11"/>
      <c r="B16" s="11"/>
      <c r="C16" s="11"/>
      <c r="D16" s="11"/>
      <c r="E16" s="11"/>
    </row>
    <row r="17" spans="1:5" ht="12.75">
      <c r="A17" s="11"/>
      <c r="B17" s="11"/>
      <c r="C17" s="11"/>
      <c r="D17" s="11"/>
      <c r="E17" s="11"/>
    </row>
    <row r="18" spans="1:5" ht="12.75">
      <c r="A18" s="11"/>
      <c r="B18" s="11"/>
      <c r="C18" s="11"/>
      <c r="D18" s="11"/>
      <c r="E18" s="11"/>
    </row>
    <row r="19" spans="1:5" ht="12.75">
      <c r="A19" s="11"/>
      <c r="B19" s="11"/>
      <c r="C19" s="11"/>
      <c r="D19" s="11"/>
      <c r="E19" s="11"/>
    </row>
    <row r="20" spans="1:5" ht="12.75">
      <c r="A20" s="11"/>
      <c r="B20" s="11"/>
      <c r="C20" s="11"/>
      <c r="D20" s="11"/>
      <c r="E20" s="11"/>
    </row>
    <row r="21" spans="1:5" ht="12.75">
      <c r="A21" s="11"/>
      <c r="B21" s="11"/>
      <c r="C21" s="11"/>
      <c r="D21" s="11"/>
      <c r="E21" s="11"/>
    </row>
    <row r="22" spans="1:5" ht="12.75">
      <c r="A22" s="11"/>
      <c r="B22" s="11"/>
      <c r="C22" s="11"/>
      <c r="D22" s="11"/>
      <c r="E22" s="11"/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I1041"/>
  <sheetViews>
    <sheetView tabSelected="1" workbookViewId="0">
      <pane ySplit="4" topLeftCell="A5" activePane="bottomLeft" state="frozen"/>
      <selection pane="bottomLeft" activeCell="F3" sqref="F3:F4"/>
    </sheetView>
  </sheetViews>
  <sheetFormatPr baseColWidth="10" defaultColWidth="12.5703125" defaultRowHeight="15.75" customHeight="1"/>
  <cols>
    <col min="1" max="1" width="2.7109375" customWidth="1"/>
  </cols>
  <sheetData>
    <row r="1" spans="2:9" ht="12.75">
      <c r="F1" s="12"/>
    </row>
    <row r="2" spans="2:9" ht="12.75">
      <c r="B2" s="85" t="s">
        <v>14</v>
      </c>
      <c r="C2" s="73"/>
      <c r="D2" s="73"/>
      <c r="E2" s="73"/>
      <c r="F2" s="73"/>
    </row>
    <row r="3" spans="2:9" ht="14.25" customHeight="1">
      <c r="B3" s="86" t="s">
        <v>15</v>
      </c>
      <c r="C3" s="88" t="s">
        <v>16</v>
      </c>
      <c r="D3" s="74"/>
      <c r="E3" s="86" t="s">
        <v>17</v>
      </c>
      <c r="F3" s="89" t="s">
        <v>42</v>
      </c>
    </row>
    <row r="4" spans="2:9" ht="30.75" customHeight="1">
      <c r="B4" s="87"/>
      <c r="C4" s="13" t="s">
        <v>2</v>
      </c>
      <c r="D4" s="13" t="s">
        <v>3</v>
      </c>
      <c r="E4" s="87"/>
      <c r="F4" s="90"/>
    </row>
    <row r="5" spans="2:9" ht="12.75">
      <c r="B5" s="14">
        <v>1</v>
      </c>
      <c r="C5" s="15">
        <v>30</v>
      </c>
      <c r="D5" s="15">
        <v>40</v>
      </c>
      <c r="E5" s="16">
        <v>2.4</v>
      </c>
      <c r="F5" s="17">
        <f t="shared" ref="F5:F62" si="0">C5/E5</f>
        <v>12.5</v>
      </c>
      <c r="G5" s="18"/>
    </row>
    <row r="6" spans="2:9" ht="12.75">
      <c r="B6" s="19">
        <v>3</v>
      </c>
      <c r="C6" s="20">
        <v>100</v>
      </c>
      <c r="D6" s="20">
        <v>140</v>
      </c>
      <c r="E6" s="20">
        <v>2.4</v>
      </c>
      <c r="F6" s="21">
        <f t="shared" si="0"/>
        <v>41.666666666666671</v>
      </c>
      <c r="G6" s="18"/>
    </row>
    <row r="7" spans="2:9" ht="12.75">
      <c r="B7" s="22">
        <v>4</v>
      </c>
      <c r="C7" s="23">
        <v>100</v>
      </c>
      <c r="D7" s="23">
        <v>140</v>
      </c>
      <c r="E7" s="23">
        <v>2.4</v>
      </c>
      <c r="F7" s="21">
        <f t="shared" si="0"/>
        <v>41.666666666666671</v>
      </c>
      <c r="G7" s="18"/>
    </row>
    <row r="8" spans="2:9" ht="12.75">
      <c r="B8" s="22">
        <v>5</v>
      </c>
      <c r="C8" s="23">
        <v>120</v>
      </c>
      <c r="D8" s="23">
        <v>160</v>
      </c>
      <c r="E8" s="23">
        <v>2.4</v>
      </c>
      <c r="F8" s="21">
        <f t="shared" si="0"/>
        <v>50</v>
      </c>
      <c r="G8" s="18"/>
    </row>
    <row r="9" spans="2:9" ht="12.75">
      <c r="B9" s="19">
        <v>8</v>
      </c>
      <c r="C9" s="20">
        <v>150</v>
      </c>
      <c r="D9" s="20">
        <v>200</v>
      </c>
      <c r="E9" s="20">
        <v>2.4</v>
      </c>
      <c r="F9" s="21">
        <f t="shared" si="0"/>
        <v>62.5</v>
      </c>
      <c r="G9" s="18"/>
    </row>
    <row r="10" spans="2:9" ht="12.75">
      <c r="B10" s="19">
        <v>11</v>
      </c>
      <c r="C10" s="20">
        <v>150</v>
      </c>
      <c r="D10" s="20">
        <v>200</v>
      </c>
      <c r="E10" s="20">
        <v>2.4</v>
      </c>
      <c r="F10" s="21">
        <f t="shared" si="0"/>
        <v>62.5</v>
      </c>
      <c r="G10" s="18"/>
    </row>
    <row r="11" spans="2:9" ht="12.75">
      <c r="B11" s="19">
        <v>12</v>
      </c>
      <c r="C11" s="20">
        <v>150</v>
      </c>
      <c r="D11" s="20">
        <v>200</v>
      </c>
      <c r="E11" s="20">
        <v>2.4</v>
      </c>
      <c r="F11" s="21">
        <f t="shared" si="0"/>
        <v>62.5</v>
      </c>
      <c r="G11" s="18"/>
    </row>
    <row r="12" spans="2:9" ht="12.75">
      <c r="B12" s="19">
        <v>13</v>
      </c>
      <c r="C12" s="20">
        <v>150</v>
      </c>
      <c r="D12" s="20">
        <v>200</v>
      </c>
      <c r="E12" s="20">
        <v>2.4</v>
      </c>
      <c r="F12" s="21">
        <f t="shared" si="0"/>
        <v>62.5</v>
      </c>
      <c r="G12" s="18"/>
    </row>
    <row r="13" spans="2:9" ht="12.75">
      <c r="B13" s="19">
        <v>14</v>
      </c>
      <c r="C13" s="24">
        <v>120</v>
      </c>
      <c r="D13" s="24">
        <v>180</v>
      </c>
      <c r="E13" s="25">
        <v>3</v>
      </c>
      <c r="F13" s="26">
        <f t="shared" si="0"/>
        <v>40</v>
      </c>
      <c r="G13" s="18"/>
    </row>
    <row r="14" spans="2:9" ht="12.75">
      <c r="B14" s="19">
        <v>16</v>
      </c>
      <c r="C14" s="25">
        <v>150</v>
      </c>
      <c r="D14" s="25">
        <v>250</v>
      </c>
      <c r="E14" s="25">
        <v>4.2</v>
      </c>
      <c r="F14" s="27">
        <f t="shared" si="0"/>
        <v>35.714285714285715</v>
      </c>
      <c r="G14" s="18"/>
    </row>
    <row r="15" spans="2:9" ht="12.75">
      <c r="B15" s="19">
        <v>17</v>
      </c>
      <c r="C15" s="28">
        <v>200</v>
      </c>
      <c r="D15" s="28">
        <v>300</v>
      </c>
      <c r="E15" s="28">
        <v>1.1000000000000001</v>
      </c>
      <c r="F15" s="27">
        <f t="shared" si="0"/>
        <v>181.81818181818181</v>
      </c>
      <c r="G15" s="18"/>
      <c r="H15" s="29"/>
      <c r="I15" s="29"/>
    </row>
    <row r="16" spans="2:9" ht="12.75">
      <c r="B16" s="19">
        <v>19</v>
      </c>
      <c r="C16" s="25">
        <v>200</v>
      </c>
      <c r="D16" s="25">
        <v>500</v>
      </c>
      <c r="E16" s="25">
        <v>5.4</v>
      </c>
      <c r="F16" s="27">
        <f t="shared" si="0"/>
        <v>37.037037037037038</v>
      </c>
      <c r="G16" s="18"/>
    </row>
    <row r="17" spans="2:7" ht="12.75">
      <c r="B17" s="19">
        <v>20</v>
      </c>
      <c r="C17" s="25">
        <v>200</v>
      </c>
      <c r="D17" s="25">
        <v>300</v>
      </c>
      <c r="E17" s="25">
        <v>5.4</v>
      </c>
      <c r="F17" s="27">
        <f t="shared" si="0"/>
        <v>37.037037037037038</v>
      </c>
      <c r="G17" s="18"/>
    </row>
    <row r="18" spans="2:7" ht="12.75">
      <c r="B18" s="19">
        <v>23</v>
      </c>
      <c r="C18" s="20">
        <v>70</v>
      </c>
      <c r="D18" s="20">
        <v>100</v>
      </c>
      <c r="E18" s="20">
        <v>1.1000000000000001</v>
      </c>
      <c r="F18" s="21">
        <f t="shared" si="0"/>
        <v>63.636363636363633</v>
      </c>
      <c r="G18" s="18"/>
    </row>
    <row r="19" spans="2:7" ht="12.75">
      <c r="B19" s="19">
        <v>24</v>
      </c>
      <c r="C19" s="20">
        <v>30</v>
      </c>
      <c r="D19" s="20">
        <v>40</v>
      </c>
      <c r="E19" s="20">
        <v>1.8</v>
      </c>
      <c r="F19" s="21">
        <f t="shared" si="0"/>
        <v>16.666666666666668</v>
      </c>
      <c r="G19" s="18"/>
    </row>
    <row r="20" spans="2:7" ht="12.75">
      <c r="B20" s="19">
        <v>25</v>
      </c>
      <c r="C20" s="20">
        <v>30</v>
      </c>
      <c r="D20" s="20">
        <v>40</v>
      </c>
      <c r="E20" s="20">
        <v>1.8</v>
      </c>
      <c r="F20" s="21">
        <f t="shared" si="0"/>
        <v>16.666666666666668</v>
      </c>
      <c r="G20" s="18"/>
    </row>
    <row r="21" spans="2:7" ht="12.75">
      <c r="B21" s="19">
        <v>26</v>
      </c>
      <c r="C21" s="20">
        <v>150</v>
      </c>
      <c r="D21" s="20">
        <v>300</v>
      </c>
      <c r="E21" s="20">
        <v>2.4</v>
      </c>
      <c r="F21" s="21">
        <f t="shared" si="0"/>
        <v>62.5</v>
      </c>
      <c r="G21" s="18"/>
    </row>
    <row r="22" spans="2:7" ht="12.75">
      <c r="B22" s="19">
        <v>27</v>
      </c>
      <c r="C22" s="25">
        <v>150</v>
      </c>
      <c r="D22" s="25">
        <v>250</v>
      </c>
      <c r="E22" s="25">
        <v>4.2</v>
      </c>
      <c r="F22" s="27">
        <f t="shared" si="0"/>
        <v>35.714285714285715</v>
      </c>
      <c r="G22" s="18"/>
    </row>
    <row r="23" spans="2:7" ht="12.75">
      <c r="B23" s="19">
        <v>28</v>
      </c>
      <c r="C23" s="25">
        <v>150</v>
      </c>
      <c r="D23" s="25">
        <v>250</v>
      </c>
      <c r="E23" s="25">
        <v>5.4</v>
      </c>
      <c r="F23" s="27">
        <f t="shared" si="0"/>
        <v>27.777777777777775</v>
      </c>
      <c r="G23" s="18"/>
    </row>
    <row r="24" spans="2:7" ht="12.75">
      <c r="B24" s="19">
        <v>29</v>
      </c>
      <c r="C24" s="20">
        <v>200</v>
      </c>
      <c r="D24" s="20">
        <v>500</v>
      </c>
      <c r="E24" s="20">
        <v>5.4</v>
      </c>
      <c r="F24" s="21">
        <f t="shared" si="0"/>
        <v>37.037037037037038</v>
      </c>
      <c r="G24" s="18"/>
    </row>
    <row r="25" spans="2:7" ht="12.75">
      <c r="B25" s="19">
        <v>32</v>
      </c>
      <c r="C25" s="20">
        <v>100</v>
      </c>
      <c r="D25" s="20">
        <v>150</v>
      </c>
      <c r="E25" s="20">
        <v>1.1000000000000001</v>
      </c>
      <c r="F25" s="21">
        <f t="shared" si="0"/>
        <v>90.909090909090907</v>
      </c>
      <c r="G25" s="18"/>
    </row>
    <row r="26" spans="2:7" ht="12.75">
      <c r="B26" s="19">
        <v>33</v>
      </c>
      <c r="C26" s="25">
        <v>250</v>
      </c>
      <c r="D26" s="25">
        <v>350</v>
      </c>
      <c r="E26" s="25">
        <v>4.2</v>
      </c>
      <c r="F26" s="27">
        <f t="shared" si="0"/>
        <v>59.523809523809518</v>
      </c>
      <c r="G26" s="18"/>
    </row>
    <row r="27" spans="2:7" ht="12.75">
      <c r="B27" s="19">
        <v>34</v>
      </c>
      <c r="C27" s="25">
        <v>250</v>
      </c>
      <c r="D27" s="25">
        <v>400</v>
      </c>
      <c r="E27" s="25">
        <v>5.4</v>
      </c>
      <c r="F27" s="27">
        <f t="shared" si="0"/>
        <v>46.296296296296291</v>
      </c>
      <c r="G27" s="18"/>
    </row>
    <row r="28" spans="2:7" ht="12.75">
      <c r="B28" s="19">
        <v>35</v>
      </c>
      <c r="C28" s="20">
        <v>300</v>
      </c>
      <c r="D28" s="20" t="s">
        <v>6</v>
      </c>
      <c r="E28" s="20">
        <v>3</v>
      </c>
      <c r="F28" s="21">
        <f t="shared" si="0"/>
        <v>100</v>
      </c>
      <c r="G28" s="18"/>
    </row>
    <row r="29" spans="2:7" ht="12.75">
      <c r="B29" s="19">
        <v>40</v>
      </c>
      <c r="C29" s="20">
        <v>40</v>
      </c>
      <c r="D29" s="20">
        <v>80</v>
      </c>
      <c r="E29" s="20">
        <v>2.4</v>
      </c>
      <c r="F29" s="21">
        <f t="shared" si="0"/>
        <v>16.666666666666668</v>
      </c>
      <c r="G29" s="18"/>
    </row>
    <row r="30" spans="2:7" ht="12.75">
      <c r="B30" s="19">
        <v>41</v>
      </c>
      <c r="C30" s="20">
        <v>70</v>
      </c>
      <c r="D30" s="20">
        <v>100</v>
      </c>
      <c r="E30" s="20">
        <v>1.1000000000000001</v>
      </c>
      <c r="F30" s="21">
        <f t="shared" si="0"/>
        <v>63.636363636363633</v>
      </c>
      <c r="G30" s="18"/>
    </row>
    <row r="31" spans="2:7" ht="12.75">
      <c r="B31" s="19">
        <v>42</v>
      </c>
      <c r="C31" s="25">
        <v>100</v>
      </c>
      <c r="D31" s="25">
        <v>200</v>
      </c>
      <c r="E31" s="25">
        <v>2.4</v>
      </c>
      <c r="F31" s="27">
        <f t="shared" si="0"/>
        <v>41.666666666666671</v>
      </c>
      <c r="G31" s="18"/>
    </row>
    <row r="32" spans="2:7" ht="12.75">
      <c r="B32" s="19">
        <v>43</v>
      </c>
      <c r="C32" s="25">
        <v>250</v>
      </c>
      <c r="D32" s="25">
        <v>400</v>
      </c>
      <c r="E32" s="25">
        <v>4.2</v>
      </c>
      <c r="F32" s="27">
        <f t="shared" si="0"/>
        <v>59.523809523809518</v>
      </c>
      <c r="G32" s="18"/>
    </row>
    <row r="33" spans="2:7" ht="12.75">
      <c r="B33" s="19">
        <v>44</v>
      </c>
      <c r="C33" s="25">
        <v>250</v>
      </c>
      <c r="D33" s="25">
        <v>400</v>
      </c>
      <c r="E33" s="25">
        <v>5.4</v>
      </c>
      <c r="F33" s="27">
        <f t="shared" si="0"/>
        <v>46.296296296296291</v>
      </c>
      <c r="G33" s="18"/>
    </row>
    <row r="34" spans="2:7" ht="12.75">
      <c r="B34" s="19">
        <v>45</v>
      </c>
      <c r="C34" s="30">
        <v>200</v>
      </c>
      <c r="D34" s="30" t="s">
        <v>6</v>
      </c>
      <c r="E34" s="20">
        <v>2.4</v>
      </c>
      <c r="F34" s="21">
        <f t="shared" si="0"/>
        <v>83.333333333333343</v>
      </c>
      <c r="G34" s="18"/>
    </row>
    <row r="35" spans="2:7" ht="12.75">
      <c r="B35" s="19">
        <v>46</v>
      </c>
      <c r="C35" s="30">
        <v>200</v>
      </c>
      <c r="D35" s="30" t="s">
        <v>6</v>
      </c>
      <c r="E35" s="20">
        <v>2.4</v>
      </c>
      <c r="F35" s="21">
        <f t="shared" si="0"/>
        <v>83.333333333333343</v>
      </c>
      <c r="G35" s="18"/>
    </row>
    <row r="36" spans="2:7" ht="12.75">
      <c r="B36" s="19">
        <v>47</v>
      </c>
      <c r="C36" s="30">
        <v>250</v>
      </c>
      <c r="D36" s="30">
        <v>350</v>
      </c>
      <c r="E36" s="20">
        <v>1.1000000000000001</v>
      </c>
      <c r="F36" s="21">
        <f t="shared" si="0"/>
        <v>227.27272727272725</v>
      </c>
      <c r="G36" s="18"/>
    </row>
    <row r="37" spans="2:7" ht="12.75">
      <c r="B37" s="19">
        <v>48</v>
      </c>
      <c r="C37" s="30">
        <v>200</v>
      </c>
      <c r="D37" s="30">
        <v>300</v>
      </c>
      <c r="E37" s="20">
        <v>1.1000000000000001</v>
      </c>
      <c r="F37" s="21">
        <f t="shared" si="0"/>
        <v>181.81818181818181</v>
      </c>
      <c r="G37" s="18"/>
    </row>
    <row r="38" spans="2:7" ht="12.75">
      <c r="B38" s="19">
        <v>49</v>
      </c>
      <c r="C38" s="31">
        <v>7</v>
      </c>
      <c r="D38" s="31">
        <v>10</v>
      </c>
      <c r="E38" s="25">
        <v>2.4</v>
      </c>
      <c r="F38" s="27">
        <f t="shared" si="0"/>
        <v>2.916666666666667</v>
      </c>
      <c r="G38" s="18"/>
    </row>
    <row r="39" spans="2:7" ht="12.75">
      <c r="B39" s="19">
        <v>50</v>
      </c>
      <c r="C39" s="25">
        <v>80</v>
      </c>
      <c r="D39" s="25">
        <v>150</v>
      </c>
      <c r="E39" s="25">
        <v>2.4</v>
      </c>
      <c r="F39" s="27">
        <f t="shared" si="0"/>
        <v>33.333333333333336</v>
      </c>
      <c r="G39" s="18"/>
    </row>
    <row r="40" spans="2:7" ht="12.75">
      <c r="B40" s="19">
        <v>51</v>
      </c>
      <c r="C40" s="25">
        <v>200</v>
      </c>
      <c r="D40" s="25">
        <v>400</v>
      </c>
      <c r="E40" s="25">
        <v>4.2</v>
      </c>
      <c r="F40" s="27">
        <f t="shared" si="0"/>
        <v>47.61904761904762</v>
      </c>
      <c r="G40" s="18"/>
    </row>
    <row r="41" spans="2:7" ht="12.75">
      <c r="B41" s="19">
        <v>52</v>
      </c>
      <c r="C41" s="25">
        <v>300</v>
      </c>
      <c r="D41" s="25">
        <v>400</v>
      </c>
      <c r="E41" s="25">
        <v>3</v>
      </c>
      <c r="F41" s="27">
        <f t="shared" si="0"/>
        <v>100</v>
      </c>
      <c r="G41" s="18"/>
    </row>
    <row r="42" spans="2:7" ht="12.75">
      <c r="B42" s="19">
        <v>53</v>
      </c>
      <c r="C42" s="25">
        <v>250</v>
      </c>
      <c r="D42" s="25">
        <v>350</v>
      </c>
      <c r="E42" s="25">
        <v>3</v>
      </c>
      <c r="F42" s="27">
        <f t="shared" si="0"/>
        <v>83.333333333333329</v>
      </c>
      <c r="G42" s="18"/>
    </row>
    <row r="43" spans="2:7" ht="12.75">
      <c r="B43" s="19">
        <v>54</v>
      </c>
      <c r="C43" s="25">
        <v>150</v>
      </c>
      <c r="D43" s="25">
        <v>300</v>
      </c>
      <c r="E43" s="25">
        <v>3</v>
      </c>
      <c r="F43" s="27">
        <f t="shared" si="0"/>
        <v>50</v>
      </c>
      <c r="G43" s="18"/>
    </row>
    <row r="44" spans="2:7" ht="19.5" customHeight="1">
      <c r="B44" s="19">
        <v>55</v>
      </c>
      <c r="C44" s="25">
        <v>150</v>
      </c>
      <c r="D44" s="25">
        <v>250</v>
      </c>
      <c r="E44" s="25">
        <v>2.4</v>
      </c>
      <c r="F44" s="27">
        <f t="shared" si="0"/>
        <v>62.5</v>
      </c>
      <c r="G44" s="18"/>
    </row>
    <row r="45" spans="2:7" ht="12.75">
      <c r="B45" s="19">
        <v>56</v>
      </c>
      <c r="C45" s="25">
        <v>130</v>
      </c>
      <c r="D45" s="25">
        <v>170</v>
      </c>
      <c r="E45" s="25">
        <v>2.4</v>
      </c>
      <c r="F45" s="27">
        <f t="shared" si="0"/>
        <v>54.166666666666671</v>
      </c>
      <c r="G45" s="18"/>
    </row>
    <row r="46" spans="2:7" ht="12.75">
      <c r="B46" s="19">
        <v>57</v>
      </c>
      <c r="C46" s="20">
        <v>150</v>
      </c>
      <c r="D46" s="20">
        <v>250</v>
      </c>
      <c r="E46" s="20">
        <v>1.1000000000000001</v>
      </c>
      <c r="F46" s="21">
        <f t="shared" si="0"/>
        <v>136.36363636363635</v>
      </c>
      <c r="G46" s="18"/>
    </row>
    <row r="47" spans="2:7" ht="12.75">
      <c r="B47" s="19">
        <v>58</v>
      </c>
      <c r="C47" s="20">
        <v>150</v>
      </c>
      <c r="D47" s="20">
        <v>250</v>
      </c>
      <c r="E47" s="20">
        <v>2.4</v>
      </c>
      <c r="F47" s="21">
        <f t="shared" si="0"/>
        <v>62.5</v>
      </c>
      <c r="G47" s="18"/>
    </row>
    <row r="48" spans="2:7" ht="12.75">
      <c r="B48" s="19">
        <v>59</v>
      </c>
      <c r="C48" s="20">
        <v>100</v>
      </c>
      <c r="D48" s="20">
        <v>300</v>
      </c>
      <c r="E48" s="20">
        <v>2.4</v>
      </c>
      <c r="F48" s="21">
        <f t="shared" si="0"/>
        <v>41.666666666666671</v>
      </c>
      <c r="G48" s="18"/>
    </row>
    <row r="49" spans="2:9" ht="12.75">
      <c r="B49" s="19">
        <v>60</v>
      </c>
      <c r="C49" s="20">
        <v>100</v>
      </c>
      <c r="D49" s="20">
        <v>150</v>
      </c>
      <c r="E49" s="20">
        <v>2.4</v>
      </c>
      <c r="F49" s="21">
        <f t="shared" si="0"/>
        <v>41.666666666666671</v>
      </c>
      <c r="G49" s="18"/>
    </row>
    <row r="50" spans="2:9" ht="12.75">
      <c r="B50" s="19">
        <v>61</v>
      </c>
      <c r="C50" s="20">
        <v>100</v>
      </c>
      <c r="D50" s="20">
        <v>150</v>
      </c>
      <c r="E50" s="20">
        <v>2.4</v>
      </c>
      <c r="F50" s="21">
        <f t="shared" si="0"/>
        <v>41.666666666666671</v>
      </c>
      <c r="G50" s="18"/>
    </row>
    <row r="51" spans="2:9" ht="12.75">
      <c r="B51" s="19">
        <v>62</v>
      </c>
      <c r="C51" s="20">
        <v>100</v>
      </c>
      <c r="D51" s="20">
        <v>150</v>
      </c>
      <c r="E51" s="20">
        <v>2.4</v>
      </c>
      <c r="F51" s="21">
        <f t="shared" si="0"/>
        <v>41.666666666666671</v>
      </c>
      <c r="G51" s="18"/>
    </row>
    <row r="52" spans="2:9" ht="12.75">
      <c r="B52" s="19">
        <v>63</v>
      </c>
      <c r="C52" s="20">
        <v>80</v>
      </c>
      <c r="D52" s="20">
        <v>150</v>
      </c>
      <c r="E52" s="20">
        <v>1.8</v>
      </c>
      <c r="F52" s="21">
        <f t="shared" si="0"/>
        <v>44.444444444444443</v>
      </c>
      <c r="G52" s="18"/>
    </row>
    <row r="53" spans="2:9" ht="12.75">
      <c r="B53" s="19">
        <v>65</v>
      </c>
      <c r="C53" s="20">
        <v>80</v>
      </c>
      <c r="D53" s="20">
        <v>150</v>
      </c>
      <c r="E53" s="20">
        <v>1.8</v>
      </c>
      <c r="F53" s="21">
        <f t="shared" si="0"/>
        <v>44.444444444444443</v>
      </c>
      <c r="G53" s="18"/>
    </row>
    <row r="54" spans="2:9" ht="12.75">
      <c r="B54" s="19">
        <v>80</v>
      </c>
      <c r="C54" s="32">
        <v>80</v>
      </c>
      <c r="D54" s="32">
        <v>150</v>
      </c>
      <c r="E54" s="32">
        <v>2.4</v>
      </c>
      <c r="F54" s="27">
        <f t="shared" si="0"/>
        <v>33.333333333333336</v>
      </c>
      <c r="G54" s="18"/>
    </row>
    <row r="55" spans="2:9" ht="12.75">
      <c r="B55" s="19">
        <v>81</v>
      </c>
      <c r="C55" s="32">
        <v>80</v>
      </c>
      <c r="D55" s="32">
        <v>150</v>
      </c>
      <c r="E55" s="32">
        <v>2.4</v>
      </c>
      <c r="F55" s="27">
        <f t="shared" si="0"/>
        <v>33.333333333333336</v>
      </c>
      <c r="G55" s="18"/>
    </row>
    <row r="56" spans="2:9" ht="12.75">
      <c r="B56" s="19">
        <v>82</v>
      </c>
      <c r="C56" s="32">
        <v>80</v>
      </c>
      <c r="D56" s="32">
        <v>150</v>
      </c>
      <c r="E56" s="32">
        <v>2.4</v>
      </c>
      <c r="F56" s="27">
        <f t="shared" si="0"/>
        <v>33.333333333333336</v>
      </c>
      <c r="G56" s="18"/>
    </row>
    <row r="57" spans="2:9" ht="12.75">
      <c r="B57" s="19">
        <v>84</v>
      </c>
      <c r="C57" s="20">
        <v>80</v>
      </c>
      <c r="D57" s="20">
        <v>110</v>
      </c>
      <c r="E57" s="20">
        <v>2.4</v>
      </c>
      <c r="F57" s="21">
        <f t="shared" si="0"/>
        <v>33.333333333333336</v>
      </c>
      <c r="G57" s="18"/>
    </row>
    <row r="58" spans="2:9" ht="12.75">
      <c r="B58" s="22">
        <v>85</v>
      </c>
      <c r="C58" s="23">
        <v>80</v>
      </c>
      <c r="D58" s="33">
        <v>120</v>
      </c>
      <c r="E58" s="20">
        <v>2.4</v>
      </c>
      <c r="F58" s="21">
        <f t="shared" si="0"/>
        <v>33.333333333333336</v>
      </c>
      <c r="G58" s="18"/>
      <c r="H58" s="34"/>
      <c r="I58" s="34"/>
    </row>
    <row r="59" spans="2:9" ht="12.75">
      <c r="B59" s="19">
        <v>86</v>
      </c>
      <c r="C59" s="20">
        <v>120</v>
      </c>
      <c r="D59" s="20">
        <v>180</v>
      </c>
      <c r="E59" s="20">
        <v>2.4</v>
      </c>
      <c r="F59" s="21">
        <f t="shared" si="0"/>
        <v>50</v>
      </c>
      <c r="G59" s="18"/>
    </row>
    <row r="60" spans="2:9" ht="12.75">
      <c r="B60" s="19">
        <v>87</v>
      </c>
      <c r="C60" s="20">
        <v>80</v>
      </c>
      <c r="D60" s="20">
        <v>110</v>
      </c>
      <c r="E60" s="20">
        <v>2.4</v>
      </c>
      <c r="F60" s="21">
        <f t="shared" si="0"/>
        <v>33.333333333333336</v>
      </c>
      <c r="G60" s="18"/>
    </row>
    <row r="61" spans="2:9" ht="12.75">
      <c r="B61" s="19">
        <v>90</v>
      </c>
      <c r="C61" s="35">
        <v>40</v>
      </c>
      <c r="D61" s="35">
        <v>60</v>
      </c>
      <c r="E61" s="20">
        <v>2.4</v>
      </c>
      <c r="F61" s="21">
        <f t="shared" si="0"/>
        <v>16.666666666666668</v>
      </c>
      <c r="G61" s="18"/>
    </row>
    <row r="62" spans="2:9" ht="12.75">
      <c r="B62" s="36">
        <v>92</v>
      </c>
      <c r="C62" s="37">
        <v>40</v>
      </c>
      <c r="D62" s="37">
        <v>60</v>
      </c>
      <c r="E62" s="38">
        <v>2.4</v>
      </c>
      <c r="F62" s="39">
        <f t="shared" si="0"/>
        <v>16.666666666666668</v>
      </c>
      <c r="G62" s="18"/>
    </row>
    <row r="63" spans="2:9" ht="12.75">
      <c r="F63" s="12"/>
    </row>
    <row r="64" spans="2:9" ht="12.75">
      <c r="F64" s="12"/>
    </row>
    <row r="65" spans="6:6" ht="12.75">
      <c r="F65" s="12"/>
    </row>
    <row r="66" spans="6:6" ht="12.75">
      <c r="F66" s="12"/>
    </row>
    <row r="67" spans="6:6" ht="12.75">
      <c r="F67" s="12"/>
    </row>
    <row r="68" spans="6:6" ht="12.75">
      <c r="F68" s="12"/>
    </row>
    <row r="69" spans="6:6" ht="12.75">
      <c r="F69" s="12"/>
    </row>
    <row r="70" spans="6:6" ht="12.75">
      <c r="F70" s="12"/>
    </row>
    <row r="71" spans="6:6" ht="12.75">
      <c r="F71" s="12"/>
    </row>
    <row r="72" spans="6:6" ht="12.75">
      <c r="F72" s="12"/>
    </row>
    <row r="73" spans="6:6" ht="12.75">
      <c r="F73" s="12"/>
    </row>
    <row r="74" spans="6:6" ht="12.75">
      <c r="F74" s="12"/>
    </row>
    <row r="75" spans="6:6" ht="12.75">
      <c r="F75" s="12"/>
    </row>
    <row r="76" spans="6:6" ht="12.75">
      <c r="F76" s="12"/>
    </row>
    <row r="77" spans="6:6" ht="12.75">
      <c r="F77" s="12"/>
    </row>
    <row r="78" spans="6:6" ht="12.75">
      <c r="F78" s="12"/>
    </row>
    <row r="79" spans="6:6" ht="12.75">
      <c r="F79" s="12"/>
    </row>
    <row r="80" spans="6:6" ht="12.75">
      <c r="F80" s="12"/>
    </row>
    <row r="81" spans="6:6" ht="12.75">
      <c r="F81" s="12"/>
    </row>
    <row r="82" spans="6:6" ht="12.75">
      <c r="F82" s="12"/>
    </row>
    <row r="83" spans="6:6" ht="12.75">
      <c r="F83" s="12"/>
    </row>
    <row r="84" spans="6:6" ht="12.75">
      <c r="F84" s="12"/>
    </row>
    <row r="85" spans="6:6" ht="12.75">
      <c r="F85" s="12"/>
    </row>
    <row r="86" spans="6:6" ht="12.75">
      <c r="F86" s="12"/>
    </row>
    <row r="87" spans="6:6" ht="12.75">
      <c r="F87" s="12"/>
    </row>
    <row r="88" spans="6:6" ht="12.75">
      <c r="F88" s="12"/>
    </row>
    <row r="89" spans="6:6" ht="12.75">
      <c r="F89" s="12"/>
    </row>
    <row r="90" spans="6:6" ht="12.75">
      <c r="F90" s="12"/>
    </row>
    <row r="91" spans="6:6" ht="12.75">
      <c r="F91" s="12"/>
    </row>
    <row r="92" spans="6:6" ht="12.75">
      <c r="F92" s="12"/>
    </row>
    <row r="93" spans="6:6" ht="12.75">
      <c r="F93" s="12"/>
    </row>
    <row r="94" spans="6:6" ht="12.75">
      <c r="F94" s="12"/>
    </row>
    <row r="95" spans="6:6" ht="12.75">
      <c r="F95" s="12"/>
    </row>
    <row r="96" spans="6:6" ht="12.75">
      <c r="F96" s="12"/>
    </row>
    <row r="97" spans="6:6" ht="12.75">
      <c r="F97" s="12"/>
    </row>
    <row r="98" spans="6:6" ht="12.75">
      <c r="F98" s="12"/>
    </row>
    <row r="99" spans="6:6" ht="12.75">
      <c r="F99" s="12"/>
    </row>
    <row r="100" spans="6:6" ht="12.75">
      <c r="F100" s="12"/>
    </row>
    <row r="101" spans="6:6" ht="12.75">
      <c r="F101" s="12"/>
    </row>
    <row r="102" spans="6:6" ht="12.75">
      <c r="F102" s="12"/>
    </row>
    <row r="103" spans="6:6" ht="12.75">
      <c r="F103" s="12"/>
    </row>
    <row r="104" spans="6:6" ht="12.75">
      <c r="F104" s="12"/>
    </row>
    <row r="105" spans="6:6" ht="12.75">
      <c r="F105" s="12"/>
    </row>
    <row r="106" spans="6:6" ht="12.75">
      <c r="F106" s="12"/>
    </row>
    <row r="107" spans="6:6" ht="12.75">
      <c r="F107" s="12"/>
    </row>
    <row r="108" spans="6:6" ht="12.75">
      <c r="F108" s="12"/>
    </row>
    <row r="109" spans="6:6" ht="12.75">
      <c r="F109" s="12"/>
    </row>
    <row r="110" spans="6:6" ht="12.75">
      <c r="F110" s="12"/>
    </row>
    <row r="111" spans="6:6" ht="12.75">
      <c r="F111" s="12"/>
    </row>
    <row r="112" spans="6:6" ht="12.75">
      <c r="F112" s="12"/>
    </row>
    <row r="113" spans="6:6" ht="12.75">
      <c r="F113" s="12"/>
    </row>
    <row r="114" spans="6:6" ht="12.75">
      <c r="F114" s="12"/>
    </row>
    <row r="115" spans="6:6" ht="12.75">
      <c r="F115" s="12"/>
    </row>
    <row r="116" spans="6:6" ht="12.75">
      <c r="F116" s="12"/>
    </row>
    <row r="117" spans="6:6" ht="12.75">
      <c r="F117" s="12"/>
    </row>
    <row r="118" spans="6:6" ht="12.75">
      <c r="F118" s="12"/>
    </row>
    <row r="119" spans="6:6" ht="12.75">
      <c r="F119" s="12"/>
    </row>
    <row r="120" spans="6:6" ht="12.75">
      <c r="F120" s="12"/>
    </row>
    <row r="121" spans="6:6" ht="12.75">
      <c r="F121" s="12"/>
    </row>
    <row r="122" spans="6:6" ht="12.75">
      <c r="F122" s="12"/>
    </row>
    <row r="123" spans="6:6" ht="12.75">
      <c r="F123" s="12"/>
    </row>
    <row r="124" spans="6:6" ht="12.75">
      <c r="F124" s="12"/>
    </row>
    <row r="125" spans="6:6" ht="12.75">
      <c r="F125" s="12"/>
    </row>
    <row r="126" spans="6:6" ht="12.75">
      <c r="F126" s="12"/>
    </row>
    <row r="127" spans="6:6" ht="12.75">
      <c r="F127" s="12"/>
    </row>
    <row r="128" spans="6:6" ht="12.75">
      <c r="F128" s="12"/>
    </row>
    <row r="129" spans="6:6" ht="12.75">
      <c r="F129" s="12"/>
    </row>
    <row r="130" spans="6:6" ht="12.75">
      <c r="F130" s="12"/>
    </row>
    <row r="131" spans="6:6" ht="12.75">
      <c r="F131" s="12"/>
    </row>
    <row r="132" spans="6:6" ht="12.75">
      <c r="F132" s="12"/>
    </row>
    <row r="133" spans="6:6" ht="12.75">
      <c r="F133" s="12"/>
    </row>
    <row r="134" spans="6:6" ht="12.75">
      <c r="F134" s="12"/>
    </row>
    <row r="135" spans="6:6" ht="12.75">
      <c r="F135" s="12"/>
    </row>
    <row r="136" spans="6:6" ht="12.75">
      <c r="F136" s="12"/>
    </row>
    <row r="137" spans="6:6" ht="12.75">
      <c r="F137" s="12"/>
    </row>
    <row r="138" spans="6:6" ht="12.75">
      <c r="F138" s="12"/>
    </row>
    <row r="139" spans="6:6" ht="12.75">
      <c r="F139" s="12"/>
    </row>
    <row r="140" spans="6:6" ht="12.75">
      <c r="F140" s="12"/>
    </row>
    <row r="141" spans="6:6" ht="12.75">
      <c r="F141" s="12"/>
    </row>
    <row r="142" spans="6:6" ht="12.75">
      <c r="F142" s="12"/>
    </row>
    <row r="143" spans="6:6" ht="12.75">
      <c r="F143" s="12"/>
    </row>
    <row r="144" spans="6:6" ht="12.75">
      <c r="F144" s="12"/>
    </row>
    <row r="145" spans="6:6" ht="12.75">
      <c r="F145" s="12"/>
    </row>
    <row r="146" spans="6:6" ht="12.75">
      <c r="F146" s="12"/>
    </row>
    <row r="147" spans="6:6" ht="12.75">
      <c r="F147" s="12"/>
    </row>
    <row r="148" spans="6:6" ht="12.75">
      <c r="F148" s="12"/>
    </row>
    <row r="149" spans="6:6" ht="12.75">
      <c r="F149" s="12"/>
    </row>
    <row r="150" spans="6:6" ht="12.75">
      <c r="F150" s="12"/>
    </row>
    <row r="151" spans="6:6" ht="12.75">
      <c r="F151" s="12"/>
    </row>
    <row r="152" spans="6:6" ht="12.75">
      <c r="F152" s="12"/>
    </row>
    <row r="153" spans="6:6" ht="12.75">
      <c r="F153" s="12"/>
    </row>
    <row r="154" spans="6:6" ht="12.75">
      <c r="F154" s="12"/>
    </row>
    <row r="155" spans="6:6" ht="12.75">
      <c r="F155" s="12"/>
    </row>
    <row r="156" spans="6:6" ht="12.75">
      <c r="F156" s="12"/>
    </row>
    <row r="157" spans="6:6" ht="12.75">
      <c r="F157" s="12"/>
    </row>
    <row r="158" spans="6:6" ht="12.75">
      <c r="F158" s="12"/>
    </row>
    <row r="159" spans="6:6" ht="12.75">
      <c r="F159" s="12"/>
    </row>
    <row r="160" spans="6:6" ht="12.75">
      <c r="F160" s="12"/>
    </row>
    <row r="161" spans="6:6" ht="12.75">
      <c r="F161" s="12"/>
    </row>
    <row r="162" spans="6:6" ht="12.75">
      <c r="F162" s="12"/>
    </row>
    <row r="163" spans="6:6" ht="12.75">
      <c r="F163" s="12"/>
    </row>
    <row r="164" spans="6:6" ht="12.75">
      <c r="F164" s="12"/>
    </row>
    <row r="165" spans="6:6" ht="12.75">
      <c r="F165" s="12"/>
    </row>
    <row r="166" spans="6:6" ht="12.75">
      <c r="F166" s="12"/>
    </row>
    <row r="167" spans="6:6" ht="12.75">
      <c r="F167" s="12"/>
    </row>
    <row r="168" spans="6:6" ht="12.75">
      <c r="F168" s="12"/>
    </row>
    <row r="169" spans="6:6" ht="12.75">
      <c r="F169" s="12"/>
    </row>
    <row r="170" spans="6:6" ht="12.75">
      <c r="F170" s="12"/>
    </row>
    <row r="171" spans="6:6" ht="12.75">
      <c r="F171" s="12"/>
    </row>
    <row r="172" spans="6:6" ht="12.75">
      <c r="F172" s="12"/>
    </row>
    <row r="173" spans="6:6" ht="12.75">
      <c r="F173" s="12"/>
    </row>
    <row r="174" spans="6:6" ht="12.75">
      <c r="F174" s="12"/>
    </row>
    <row r="175" spans="6:6" ht="12.75">
      <c r="F175" s="12"/>
    </row>
    <row r="176" spans="6:6" ht="12.75">
      <c r="F176" s="12"/>
    </row>
    <row r="177" spans="6:6" ht="12.75">
      <c r="F177" s="12"/>
    </row>
    <row r="178" spans="6:6" ht="12.75">
      <c r="F178" s="12"/>
    </row>
    <row r="179" spans="6:6" ht="12.75">
      <c r="F179" s="12"/>
    </row>
    <row r="180" spans="6:6" ht="12.75">
      <c r="F180" s="12"/>
    </row>
    <row r="181" spans="6:6" ht="12.75">
      <c r="F181" s="12"/>
    </row>
    <row r="182" spans="6:6" ht="12.75">
      <c r="F182" s="12"/>
    </row>
    <row r="183" spans="6:6" ht="12.75">
      <c r="F183" s="12"/>
    </row>
    <row r="184" spans="6:6" ht="12.75">
      <c r="F184" s="12"/>
    </row>
    <row r="185" spans="6:6" ht="12.75">
      <c r="F185" s="12"/>
    </row>
    <row r="186" spans="6:6" ht="12.75">
      <c r="F186" s="12"/>
    </row>
    <row r="187" spans="6:6" ht="12.75">
      <c r="F187" s="12"/>
    </row>
    <row r="188" spans="6:6" ht="12.75">
      <c r="F188" s="12"/>
    </row>
    <row r="189" spans="6:6" ht="12.75">
      <c r="F189" s="12"/>
    </row>
    <row r="190" spans="6:6" ht="12.75">
      <c r="F190" s="12"/>
    </row>
    <row r="191" spans="6:6" ht="12.75">
      <c r="F191" s="12"/>
    </row>
    <row r="192" spans="6:6" ht="12.75">
      <c r="F192" s="12"/>
    </row>
    <row r="193" spans="6:6" ht="12.75">
      <c r="F193" s="12"/>
    </row>
    <row r="194" spans="6:6" ht="12.75">
      <c r="F194" s="12"/>
    </row>
    <row r="195" spans="6:6" ht="12.75">
      <c r="F195" s="12"/>
    </row>
    <row r="196" spans="6:6" ht="12.75">
      <c r="F196" s="12"/>
    </row>
    <row r="197" spans="6:6" ht="12.75">
      <c r="F197" s="12"/>
    </row>
    <row r="198" spans="6:6" ht="12.75">
      <c r="F198" s="12"/>
    </row>
    <row r="199" spans="6:6" ht="12.75">
      <c r="F199" s="12"/>
    </row>
    <row r="200" spans="6:6" ht="12.75">
      <c r="F200" s="12"/>
    </row>
    <row r="201" spans="6:6" ht="12.75">
      <c r="F201" s="12"/>
    </row>
    <row r="202" spans="6:6" ht="12.75">
      <c r="F202" s="12"/>
    </row>
    <row r="203" spans="6:6" ht="12.75">
      <c r="F203" s="12"/>
    </row>
    <row r="204" spans="6:6" ht="12.75">
      <c r="F204" s="12"/>
    </row>
    <row r="205" spans="6:6" ht="12.75">
      <c r="F205" s="12"/>
    </row>
    <row r="206" spans="6:6" ht="12.75">
      <c r="F206" s="12"/>
    </row>
    <row r="207" spans="6:6" ht="12.75">
      <c r="F207" s="12"/>
    </row>
    <row r="208" spans="6:6" ht="12.75">
      <c r="F208" s="12"/>
    </row>
    <row r="209" spans="6:6" ht="12.75">
      <c r="F209" s="12"/>
    </row>
    <row r="210" spans="6:6" ht="12.75">
      <c r="F210" s="12"/>
    </row>
    <row r="211" spans="6:6" ht="12.75">
      <c r="F211" s="12"/>
    </row>
    <row r="212" spans="6:6" ht="12.75">
      <c r="F212" s="12"/>
    </row>
    <row r="213" spans="6:6" ht="12.75">
      <c r="F213" s="12"/>
    </row>
    <row r="214" spans="6:6" ht="12.75">
      <c r="F214" s="12"/>
    </row>
    <row r="215" spans="6:6" ht="12.75">
      <c r="F215" s="12"/>
    </row>
    <row r="216" spans="6:6" ht="12.75">
      <c r="F216" s="12"/>
    </row>
    <row r="217" spans="6:6" ht="12.75">
      <c r="F217" s="12"/>
    </row>
    <row r="218" spans="6:6" ht="12.75">
      <c r="F218" s="12"/>
    </row>
    <row r="219" spans="6:6" ht="12.75">
      <c r="F219" s="12"/>
    </row>
    <row r="220" spans="6:6" ht="12.75">
      <c r="F220" s="12"/>
    </row>
    <row r="221" spans="6:6" ht="12.75">
      <c r="F221" s="12"/>
    </row>
    <row r="222" spans="6:6" ht="12.75">
      <c r="F222" s="12"/>
    </row>
    <row r="223" spans="6:6" ht="12.75">
      <c r="F223" s="12"/>
    </row>
    <row r="224" spans="6:6" ht="12.75">
      <c r="F224" s="12"/>
    </row>
    <row r="225" spans="6:6" ht="12.75">
      <c r="F225" s="12"/>
    </row>
    <row r="226" spans="6:6" ht="12.75">
      <c r="F226" s="12"/>
    </row>
    <row r="227" spans="6:6" ht="12.75">
      <c r="F227" s="12"/>
    </row>
    <row r="228" spans="6:6" ht="12.75">
      <c r="F228" s="12"/>
    </row>
    <row r="229" spans="6:6" ht="12.75">
      <c r="F229" s="12"/>
    </row>
    <row r="230" spans="6:6" ht="12.75">
      <c r="F230" s="12"/>
    </row>
    <row r="231" spans="6:6" ht="12.75">
      <c r="F231" s="12"/>
    </row>
    <row r="232" spans="6:6" ht="12.75">
      <c r="F232" s="12"/>
    </row>
    <row r="233" spans="6:6" ht="12.75">
      <c r="F233" s="12"/>
    </row>
    <row r="234" spans="6:6" ht="12.75">
      <c r="F234" s="12"/>
    </row>
    <row r="235" spans="6:6" ht="12.75">
      <c r="F235" s="12"/>
    </row>
    <row r="236" spans="6:6" ht="12.75">
      <c r="F236" s="12"/>
    </row>
    <row r="237" spans="6:6" ht="12.75">
      <c r="F237" s="12"/>
    </row>
    <row r="238" spans="6:6" ht="12.75">
      <c r="F238" s="12"/>
    </row>
    <row r="239" spans="6:6" ht="12.75">
      <c r="F239" s="12"/>
    </row>
    <row r="240" spans="6:6" ht="12.75">
      <c r="F240" s="12"/>
    </row>
    <row r="241" spans="6:6" ht="12.75">
      <c r="F241" s="12"/>
    </row>
    <row r="242" spans="6:6" ht="12.75">
      <c r="F242" s="12"/>
    </row>
    <row r="243" spans="6:6" ht="12.75">
      <c r="F243" s="12"/>
    </row>
    <row r="244" spans="6:6" ht="12.75">
      <c r="F244" s="12"/>
    </row>
    <row r="245" spans="6:6" ht="12.75">
      <c r="F245" s="12"/>
    </row>
    <row r="246" spans="6:6" ht="12.75">
      <c r="F246" s="12"/>
    </row>
    <row r="247" spans="6:6" ht="12.75">
      <c r="F247" s="12"/>
    </row>
    <row r="248" spans="6:6" ht="12.75">
      <c r="F248" s="12"/>
    </row>
    <row r="249" spans="6:6" ht="12.75">
      <c r="F249" s="12"/>
    </row>
    <row r="250" spans="6:6" ht="12.75">
      <c r="F250" s="12"/>
    </row>
    <row r="251" spans="6:6" ht="12.75">
      <c r="F251" s="12"/>
    </row>
    <row r="252" spans="6:6" ht="12.75">
      <c r="F252" s="12"/>
    </row>
    <row r="253" spans="6:6" ht="12.75">
      <c r="F253" s="12"/>
    </row>
    <row r="254" spans="6:6" ht="12.75">
      <c r="F254" s="12"/>
    </row>
    <row r="255" spans="6:6" ht="12.75">
      <c r="F255" s="12"/>
    </row>
    <row r="256" spans="6:6" ht="12.75">
      <c r="F256" s="12"/>
    </row>
    <row r="257" spans="6:6" ht="12.75">
      <c r="F257" s="12"/>
    </row>
    <row r="258" spans="6:6" ht="12.75">
      <c r="F258" s="12"/>
    </row>
    <row r="259" spans="6:6" ht="12.75">
      <c r="F259" s="12"/>
    </row>
    <row r="260" spans="6:6" ht="12.75">
      <c r="F260" s="12"/>
    </row>
    <row r="261" spans="6:6" ht="12.75">
      <c r="F261" s="12"/>
    </row>
    <row r="262" spans="6:6" ht="12.75">
      <c r="F262" s="12"/>
    </row>
    <row r="263" spans="6:6" ht="12.75">
      <c r="F263" s="12"/>
    </row>
    <row r="264" spans="6:6" ht="12.75">
      <c r="F264" s="12"/>
    </row>
    <row r="265" spans="6:6" ht="12.75">
      <c r="F265" s="12"/>
    </row>
    <row r="266" spans="6:6" ht="12.75">
      <c r="F266" s="12"/>
    </row>
    <row r="267" spans="6:6" ht="12.75">
      <c r="F267" s="12"/>
    </row>
    <row r="268" spans="6:6" ht="12.75">
      <c r="F268" s="12"/>
    </row>
    <row r="269" spans="6:6" ht="12.75">
      <c r="F269" s="12"/>
    </row>
    <row r="270" spans="6:6" ht="12.75">
      <c r="F270" s="12"/>
    </row>
    <row r="271" spans="6:6" ht="12.75">
      <c r="F271" s="12"/>
    </row>
    <row r="272" spans="6:6" ht="12.75">
      <c r="F272" s="12"/>
    </row>
    <row r="273" spans="6:6" ht="12.75">
      <c r="F273" s="12"/>
    </row>
    <row r="274" spans="6:6" ht="12.75">
      <c r="F274" s="12"/>
    </row>
    <row r="275" spans="6:6" ht="12.75">
      <c r="F275" s="12"/>
    </row>
    <row r="276" spans="6:6" ht="12.75">
      <c r="F276" s="12"/>
    </row>
    <row r="277" spans="6:6" ht="12.75">
      <c r="F277" s="12"/>
    </row>
    <row r="278" spans="6:6" ht="12.75">
      <c r="F278" s="12"/>
    </row>
    <row r="279" spans="6:6" ht="12.75">
      <c r="F279" s="12"/>
    </row>
    <row r="280" spans="6:6" ht="12.75">
      <c r="F280" s="12"/>
    </row>
    <row r="281" spans="6:6" ht="12.75">
      <c r="F281" s="12"/>
    </row>
    <row r="282" spans="6:6" ht="12.75">
      <c r="F282" s="12"/>
    </row>
    <row r="283" spans="6:6" ht="12.75">
      <c r="F283" s="12"/>
    </row>
    <row r="284" spans="6:6" ht="12.75">
      <c r="F284" s="12"/>
    </row>
    <row r="285" spans="6:6" ht="12.75">
      <c r="F285" s="12"/>
    </row>
    <row r="286" spans="6:6" ht="12.75">
      <c r="F286" s="12"/>
    </row>
    <row r="287" spans="6:6" ht="12.75">
      <c r="F287" s="12"/>
    </row>
    <row r="288" spans="6:6" ht="12.75">
      <c r="F288" s="12"/>
    </row>
    <row r="289" spans="6:6" ht="12.75">
      <c r="F289" s="12"/>
    </row>
    <row r="290" spans="6:6" ht="12.75">
      <c r="F290" s="12"/>
    </row>
    <row r="291" spans="6:6" ht="12.75">
      <c r="F291" s="12"/>
    </row>
    <row r="292" spans="6:6" ht="12.75">
      <c r="F292" s="12"/>
    </row>
    <row r="293" spans="6:6" ht="12.75">
      <c r="F293" s="12"/>
    </row>
    <row r="294" spans="6:6" ht="12.75">
      <c r="F294" s="12"/>
    </row>
    <row r="295" spans="6:6" ht="12.75">
      <c r="F295" s="12"/>
    </row>
    <row r="296" spans="6:6" ht="12.75">
      <c r="F296" s="12"/>
    </row>
    <row r="297" spans="6:6" ht="12.75">
      <c r="F297" s="12"/>
    </row>
    <row r="298" spans="6:6" ht="12.75">
      <c r="F298" s="12"/>
    </row>
    <row r="299" spans="6:6" ht="12.75">
      <c r="F299" s="12"/>
    </row>
    <row r="300" spans="6:6" ht="12.75">
      <c r="F300" s="12"/>
    </row>
    <row r="301" spans="6:6" ht="12.75">
      <c r="F301" s="12"/>
    </row>
    <row r="302" spans="6:6" ht="12.75">
      <c r="F302" s="12"/>
    </row>
    <row r="303" spans="6:6" ht="12.75">
      <c r="F303" s="12"/>
    </row>
    <row r="304" spans="6:6" ht="12.75">
      <c r="F304" s="12"/>
    </row>
    <row r="305" spans="6:6" ht="12.75">
      <c r="F305" s="12"/>
    </row>
    <row r="306" spans="6:6" ht="12.75">
      <c r="F306" s="12"/>
    </row>
    <row r="307" spans="6:6" ht="12.75">
      <c r="F307" s="12"/>
    </row>
    <row r="308" spans="6:6" ht="12.75">
      <c r="F308" s="12"/>
    </row>
    <row r="309" spans="6:6" ht="12.75">
      <c r="F309" s="12"/>
    </row>
    <row r="310" spans="6:6" ht="12.75">
      <c r="F310" s="12"/>
    </row>
    <row r="311" spans="6:6" ht="12.75">
      <c r="F311" s="12"/>
    </row>
    <row r="312" spans="6:6" ht="12.75">
      <c r="F312" s="12"/>
    </row>
    <row r="313" spans="6:6" ht="12.75">
      <c r="F313" s="12"/>
    </row>
    <row r="314" spans="6:6" ht="12.75">
      <c r="F314" s="12"/>
    </row>
    <row r="315" spans="6:6" ht="12.75">
      <c r="F315" s="12"/>
    </row>
    <row r="316" spans="6:6" ht="12.75">
      <c r="F316" s="12"/>
    </row>
    <row r="317" spans="6:6" ht="12.75">
      <c r="F317" s="12"/>
    </row>
    <row r="318" spans="6:6" ht="12.75">
      <c r="F318" s="12"/>
    </row>
    <row r="319" spans="6:6" ht="12.75">
      <c r="F319" s="12"/>
    </row>
    <row r="320" spans="6:6" ht="12.75">
      <c r="F320" s="12"/>
    </row>
    <row r="321" spans="6:6" ht="12.75">
      <c r="F321" s="12"/>
    </row>
    <row r="322" spans="6:6" ht="12.75">
      <c r="F322" s="12"/>
    </row>
    <row r="323" spans="6:6" ht="12.75">
      <c r="F323" s="12"/>
    </row>
    <row r="324" spans="6:6" ht="12.75">
      <c r="F324" s="12"/>
    </row>
    <row r="325" spans="6:6" ht="12.75">
      <c r="F325" s="12"/>
    </row>
    <row r="326" spans="6:6" ht="12.75">
      <c r="F326" s="12"/>
    </row>
    <row r="327" spans="6:6" ht="12.75">
      <c r="F327" s="12"/>
    </row>
    <row r="328" spans="6:6" ht="12.75">
      <c r="F328" s="12"/>
    </row>
    <row r="329" spans="6:6" ht="12.75">
      <c r="F329" s="12"/>
    </row>
    <row r="330" spans="6:6" ht="12.75">
      <c r="F330" s="12"/>
    </row>
    <row r="331" spans="6:6" ht="12.75">
      <c r="F331" s="12"/>
    </row>
    <row r="332" spans="6:6" ht="12.75">
      <c r="F332" s="12"/>
    </row>
    <row r="333" spans="6:6" ht="12.75">
      <c r="F333" s="12"/>
    </row>
    <row r="334" spans="6:6" ht="12.75">
      <c r="F334" s="12"/>
    </row>
    <row r="335" spans="6:6" ht="12.75">
      <c r="F335" s="12"/>
    </row>
    <row r="336" spans="6:6" ht="12.75">
      <c r="F336" s="12"/>
    </row>
    <row r="337" spans="6:6" ht="12.75">
      <c r="F337" s="12"/>
    </row>
    <row r="338" spans="6:6" ht="12.75">
      <c r="F338" s="12"/>
    </row>
    <row r="339" spans="6:6" ht="12.75">
      <c r="F339" s="12"/>
    </row>
    <row r="340" spans="6:6" ht="12.75">
      <c r="F340" s="12"/>
    </row>
    <row r="341" spans="6:6" ht="12.75">
      <c r="F341" s="12"/>
    </row>
    <row r="342" spans="6:6" ht="12.75">
      <c r="F342" s="12"/>
    </row>
    <row r="343" spans="6:6" ht="12.75">
      <c r="F343" s="12"/>
    </row>
    <row r="344" spans="6:6" ht="12.75">
      <c r="F344" s="12"/>
    </row>
    <row r="345" spans="6:6" ht="12.75">
      <c r="F345" s="12"/>
    </row>
    <row r="346" spans="6:6" ht="12.75">
      <c r="F346" s="12"/>
    </row>
    <row r="347" spans="6:6" ht="12.75">
      <c r="F347" s="12"/>
    </row>
    <row r="348" spans="6:6" ht="12.75">
      <c r="F348" s="12"/>
    </row>
    <row r="349" spans="6:6" ht="12.75">
      <c r="F349" s="12"/>
    </row>
    <row r="350" spans="6:6" ht="12.75">
      <c r="F350" s="12"/>
    </row>
    <row r="351" spans="6:6" ht="12.75">
      <c r="F351" s="12"/>
    </row>
    <row r="352" spans="6:6" ht="12.75">
      <c r="F352" s="12"/>
    </row>
    <row r="353" spans="6:6" ht="12.75">
      <c r="F353" s="12"/>
    </row>
    <row r="354" spans="6:6" ht="12.75">
      <c r="F354" s="12"/>
    </row>
    <row r="355" spans="6:6" ht="12.75">
      <c r="F355" s="12"/>
    </row>
    <row r="356" spans="6:6" ht="12.75">
      <c r="F356" s="12"/>
    </row>
    <row r="357" spans="6:6" ht="12.75">
      <c r="F357" s="12"/>
    </row>
    <row r="358" spans="6:6" ht="12.75">
      <c r="F358" s="12"/>
    </row>
    <row r="359" spans="6:6" ht="12.75">
      <c r="F359" s="12"/>
    </row>
    <row r="360" spans="6:6" ht="12.75">
      <c r="F360" s="12"/>
    </row>
    <row r="361" spans="6:6" ht="12.75">
      <c r="F361" s="12"/>
    </row>
    <row r="362" spans="6:6" ht="12.75">
      <c r="F362" s="12"/>
    </row>
    <row r="363" spans="6:6" ht="12.75">
      <c r="F363" s="12"/>
    </row>
    <row r="364" spans="6:6" ht="12.75">
      <c r="F364" s="12"/>
    </row>
    <row r="365" spans="6:6" ht="12.75">
      <c r="F365" s="12"/>
    </row>
    <row r="366" spans="6:6" ht="12.75">
      <c r="F366" s="12"/>
    </row>
    <row r="367" spans="6:6" ht="12.75">
      <c r="F367" s="12"/>
    </row>
    <row r="368" spans="6:6" ht="12.75">
      <c r="F368" s="12"/>
    </row>
    <row r="369" spans="6:6" ht="12.75">
      <c r="F369" s="12"/>
    </row>
    <row r="370" spans="6:6" ht="12.75">
      <c r="F370" s="12"/>
    </row>
    <row r="371" spans="6:6" ht="12.75">
      <c r="F371" s="12"/>
    </row>
    <row r="372" spans="6:6" ht="12.75">
      <c r="F372" s="12"/>
    </row>
    <row r="373" spans="6:6" ht="12.75">
      <c r="F373" s="12"/>
    </row>
    <row r="374" spans="6:6" ht="12.75">
      <c r="F374" s="12"/>
    </row>
    <row r="375" spans="6:6" ht="12.75">
      <c r="F375" s="12"/>
    </row>
    <row r="376" spans="6:6" ht="12.75">
      <c r="F376" s="12"/>
    </row>
    <row r="377" spans="6:6" ht="12.75">
      <c r="F377" s="12"/>
    </row>
    <row r="378" spans="6:6" ht="12.75">
      <c r="F378" s="12"/>
    </row>
    <row r="379" spans="6:6" ht="12.75">
      <c r="F379" s="12"/>
    </row>
    <row r="380" spans="6:6" ht="12.75">
      <c r="F380" s="12"/>
    </row>
    <row r="381" spans="6:6" ht="12.75">
      <c r="F381" s="12"/>
    </row>
    <row r="382" spans="6:6" ht="12.75">
      <c r="F382" s="12"/>
    </row>
    <row r="383" spans="6:6" ht="12.75">
      <c r="F383" s="12"/>
    </row>
    <row r="384" spans="6:6" ht="12.75">
      <c r="F384" s="12"/>
    </row>
    <row r="385" spans="6:6" ht="12.75">
      <c r="F385" s="12"/>
    </row>
    <row r="386" spans="6:6" ht="12.75">
      <c r="F386" s="12"/>
    </row>
    <row r="387" spans="6:6" ht="12.75">
      <c r="F387" s="12"/>
    </row>
    <row r="388" spans="6:6" ht="12.75">
      <c r="F388" s="12"/>
    </row>
    <row r="389" spans="6:6" ht="12.75">
      <c r="F389" s="12"/>
    </row>
    <row r="390" spans="6:6" ht="12.75">
      <c r="F390" s="12"/>
    </row>
    <row r="391" spans="6:6" ht="12.75">
      <c r="F391" s="12"/>
    </row>
    <row r="392" spans="6:6" ht="12.75">
      <c r="F392" s="12"/>
    </row>
    <row r="393" spans="6:6" ht="12.75">
      <c r="F393" s="12"/>
    </row>
    <row r="394" spans="6:6" ht="12.75">
      <c r="F394" s="12"/>
    </row>
    <row r="395" spans="6:6" ht="12.75">
      <c r="F395" s="12"/>
    </row>
    <row r="396" spans="6:6" ht="12.75">
      <c r="F396" s="12"/>
    </row>
    <row r="397" spans="6:6" ht="12.75">
      <c r="F397" s="12"/>
    </row>
    <row r="398" spans="6:6" ht="12.75">
      <c r="F398" s="12"/>
    </row>
    <row r="399" spans="6:6" ht="12.75">
      <c r="F399" s="12"/>
    </row>
    <row r="400" spans="6:6" ht="12.75">
      <c r="F400" s="12"/>
    </row>
    <row r="401" spans="6:6" ht="12.75">
      <c r="F401" s="12"/>
    </row>
    <row r="402" spans="6:6" ht="12.75">
      <c r="F402" s="12"/>
    </row>
    <row r="403" spans="6:6" ht="12.75">
      <c r="F403" s="12"/>
    </row>
    <row r="404" spans="6:6" ht="12.75">
      <c r="F404" s="12"/>
    </row>
    <row r="405" spans="6:6" ht="12.75">
      <c r="F405" s="12"/>
    </row>
    <row r="406" spans="6:6" ht="12.75">
      <c r="F406" s="12"/>
    </row>
    <row r="407" spans="6:6" ht="12.75">
      <c r="F407" s="12"/>
    </row>
    <row r="408" spans="6:6" ht="12.75">
      <c r="F408" s="12"/>
    </row>
    <row r="409" spans="6:6" ht="12.75">
      <c r="F409" s="12"/>
    </row>
    <row r="410" spans="6:6" ht="12.75">
      <c r="F410" s="12"/>
    </row>
    <row r="411" spans="6:6" ht="12.75">
      <c r="F411" s="12"/>
    </row>
    <row r="412" spans="6:6" ht="12.75">
      <c r="F412" s="12"/>
    </row>
    <row r="413" spans="6:6" ht="12.75">
      <c r="F413" s="12"/>
    </row>
    <row r="414" spans="6:6" ht="12.75">
      <c r="F414" s="12"/>
    </row>
    <row r="415" spans="6:6" ht="12.75">
      <c r="F415" s="12"/>
    </row>
    <row r="416" spans="6:6" ht="12.75">
      <c r="F416" s="12"/>
    </row>
    <row r="417" spans="6:6" ht="12.75">
      <c r="F417" s="12"/>
    </row>
    <row r="418" spans="6:6" ht="12.75">
      <c r="F418" s="12"/>
    </row>
    <row r="419" spans="6:6" ht="12.75">
      <c r="F419" s="12"/>
    </row>
    <row r="420" spans="6:6" ht="12.75">
      <c r="F420" s="12"/>
    </row>
    <row r="421" spans="6:6" ht="12.75">
      <c r="F421" s="12"/>
    </row>
    <row r="422" spans="6:6" ht="12.75">
      <c r="F422" s="12"/>
    </row>
    <row r="423" spans="6:6" ht="12.75">
      <c r="F423" s="12"/>
    </row>
    <row r="424" spans="6:6" ht="12.75">
      <c r="F424" s="12"/>
    </row>
    <row r="425" spans="6:6" ht="12.75">
      <c r="F425" s="12"/>
    </row>
    <row r="426" spans="6:6" ht="12.75">
      <c r="F426" s="12"/>
    </row>
    <row r="427" spans="6:6" ht="12.75">
      <c r="F427" s="12"/>
    </row>
    <row r="428" spans="6:6" ht="12.75">
      <c r="F428" s="12"/>
    </row>
    <row r="429" spans="6:6" ht="12.75">
      <c r="F429" s="12"/>
    </row>
    <row r="430" spans="6:6" ht="12.75">
      <c r="F430" s="12"/>
    </row>
    <row r="431" spans="6:6" ht="12.75">
      <c r="F431" s="12"/>
    </row>
    <row r="432" spans="6:6" ht="12.75">
      <c r="F432" s="12"/>
    </row>
    <row r="433" spans="6:6" ht="12.75">
      <c r="F433" s="12"/>
    </row>
    <row r="434" spans="6:6" ht="12.75">
      <c r="F434" s="12"/>
    </row>
    <row r="435" spans="6:6" ht="12.75">
      <c r="F435" s="12"/>
    </row>
    <row r="436" spans="6:6" ht="12.75">
      <c r="F436" s="12"/>
    </row>
    <row r="437" spans="6:6" ht="12.75">
      <c r="F437" s="12"/>
    </row>
    <row r="438" spans="6:6" ht="12.75">
      <c r="F438" s="12"/>
    </row>
    <row r="439" spans="6:6" ht="12.75">
      <c r="F439" s="12"/>
    </row>
    <row r="440" spans="6:6" ht="12.75">
      <c r="F440" s="12"/>
    </row>
    <row r="441" spans="6:6" ht="12.75">
      <c r="F441" s="12"/>
    </row>
    <row r="442" spans="6:6" ht="12.75">
      <c r="F442" s="12"/>
    </row>
    <row r="443" spans="6:6" ht="12.75">
      <c r="F443" s="12"/>
    </row>
    <row r="444" spans="6:6" ht="12.75">
      <c r="F444" s="12"/>
    </row>
    <row r="445" spans="6:6" ht="12.75">
      <c r="F445" s="12"/>
    </row>
    <row r="446" spans="6:6" ht="12.75">
      <c r="F446" s="12"/>
    </row>
    <row r="447" spans="6:6" ht="12.75">
      <c r="F447" s="12"/>
    </row>
    <row r="448" spans="6:6" ht="12.75">
      <c r="F448" s="12"/>
    </row>
    <row r="449" spans="6:6" ht="12.75">
      <c r="F449" s="12"/>
    </row>
    <row r="450" spans="6:6" ht="12.75">
      <c r="F450" s="12"/>
    </row>
    <row r="451" spans="6:6" ht="12.75">
      <c r="F451" s="12"/>
    </row>
    <row r="452" spans="6:6" ht="12.75">
      <c r="F452" s="12"/>
    </row>
    <row r="453" spans="6:6" ht="12.75">
      <c r="F453" s="12"/>
    </row>
    <row r="454" spans="6:6" ht="12.75">
      <c r="F454" s="12"/>
    </row>
    <row r="455" spans="6:6" ht="12.75">
      <c r="F455" s="12"/>
    </row>
    <row r="456" spans="6:6" ht="12.75">
      <c r="F456" s="12"/>
    </row>
    <row r="457" spans="6:6" ht="12.75">
      <c r="F457" s="12"/>
    </row>
    <row r="458" spans="6:6" ht="12.75">
      <c r="F458" s="12"/>
    </row>
    <row r="459" spans="6:6" ht="12.75">
      <c r="F459" s="12"/>
    </row>
    <row r="460" spans="6:6" ht="12.75">
      <c r="F460" s="12"/>
    </row>
    <row r="461" spans="6:6" ht="12.75">
      <c r="F461" s="12"/>
    </row>
    <row r="462" spans="6:6" ht="12.75">
      <c r="F462" s="12"/>
    </row>
    <row r="463" spans="6:6" ht="12.75">
      <c r="F463" s="12"/>
    </row>
    <row r="464" spans="6:6" ht="12.75">
      <c r="F464" s="12"/>
    </row>
    <row r="465" spans="6:6" ht="12.75">
      <c r="F465" s="12"/>
    </row>
    <row r="466" spans="6:6" ht="12.75">
      <c r="F466" s="12"/>
    </row>
    <row r="467" spans="6:6" ht="12.75">
      <c r="F467" s="12"/>
    </row>
    <row r="468" spans="6:6" ht="12.75">
      <c r="F468" s="12"/>
    </row>
    <row r="469" spans="6:6" ht="12.75">
      <c r="F469" s="12"/>
    </row>
    <row r="470" spans="6:6" ht="12.75">
      <c r="F470" s="12"/>
    </row>
    <row r="471" spans="6:6" ht="12.75">
      <c r="F471" s="12"/>
    </row>
    <row r="472" spans="6:6" ht="12.75">
      <c r="F472" s="12"/>
    </row>
    <row r="473" spans="6:6" ht="12.75">
      <c r="F473" s="12"/>
    </row>
    <row r="474" spans="6:6" ht="12.75">
      <c r="F474" s="12"/>
    </row>
    <row r="475" spans="6:6" ht="12.75">
      <c r="F475" s="12"/>
    </row>
    <row r="476" spans="6:6" ht="12.75">
      <c r="F476" s="12"/>
    </row>
    <row r="477" spans="6:6" ht="12.75">
      <c r="F477" s="12"/>
    </row>
    <row r="478" spans="6:6" ht="12.75">
      <c r="F478" s="12"/>
    </row>
    <row r="479" spans="6:6" ht="12.75">
      <c r="F479" s="12"/>
    </row>
    <row r="480" spans="6:6" ht="12.75">
      <c r="F480" s="12"/>
    </row>
    <row r="481" spans="6:6" ht="12.75">
      <c r="F481" s="12"/>
    </row>
    <row r="482" spans="6:6" ht="12.75">
      <c r="F482" s="12"/>
    </row>
    <row r="483" spans="6:6" ht="12.75">
      <c r="F483" s="12"/>
    </row>
    <row r="484" spans="6:6" ht="12.75">
      <c r="F484" s="12"/>
    </row>
    <row r="485" spans="6:6" ht="12.75">
      <c r="F485" s="12"/>
    </row>
    <row r="486" spans="6:6" ht="12.75">
      <c r="F486" s="12"/>
    </row>
    <row r="487" spans="6:6" ht="12.75">
      <c r="F487" s="12"/>
    </row>
    <row r="488" spans="6:6" ht="12.75">
      <c r="F488" s="12"/>
    </row>
    <row r="489" spans="6:6" ht="12.75">
      <c r="F489" s="12"/>
    </row>
    <row r="490" spans="6:6" ht="12.75">
      <c r="F490" s="12"/>
    </row>
    <row r="491" spans="6:6" ht="12.75">
      <c r="F491" s="12"/>
    </row>
    <row r="492" spans="6:6" ht="12.75">
      <c r="F492" s="12"/>
    </row>
    <row r="493" spans="6:6" ht="12.75">
      <c r="F493" s="12"/>
    </row>
    <row r="494" spans="6:6" ht="12.75">
      <c r="F494" s="12"/>
    </row>
    <row r="495" spans="6:6" ht="12.75">
      <c r="F495" s="12"/>
    </row>
    <row r="496" spans="6:6" ht="12.75">
      <c r="F496" s="12"/>
    </row>
    <row r="497" spans="6:6" ht="12.75">
      <c r="F497" s="12"/>
    </row>
    <row r="498" spans="6:6" ht="12.75">
      <c r="F498" s="12"/>
    </row>
    <row r="499" spans="6:6" ht="12.75">
      <c r="F499" s="12"/>
    </row>
    <row r="500" spans="6:6" ht="12.75">
      <c r="F500" s="12"/>
    </row>
    <row r="501" spans="6:6" ht="12.75">
      <c r="F501" s="12"/>
    </row>
    <row r="502" spans="6:6" ht="12.75">
      <c r="F502" s="12"/>
    </row>
    <row r="503" spans="6:6" ht="12.75">
      <c r="F503" s="12"/>
    </row>
    <row r="504" spans="6:6" ht="12.75">
      <c r="F504" s="12"/>
    </row>
    <row r="505" spans="6:6" ht="12.75">
      <c r="F505" s="12"/>
    </row>
    <row r="506" spans="6:6" ht="12.75">
      <c r="F506" s="12"/>
    </row>
    <row r="507" spans="6:6" ht="12.75">
      <c r="F507" s="12"/>
    </row>
    <row r="508" spans="6:6" ht="12.75">
      <c r="F508" s="12"/>
    </row>
    <row r="509" spans="6:6" ht="12.75">
      <c r="F509" s="12"/>
    </row>
    <row r="510" spans="6:6" ht="12.75">
      <c r="F510" s="12"/>
    </row>
    <row r="511" spans="6:6" ht="12.75">
      <c r="F511" s="12"/>
    </row>
    <row r="512" spans="6:6" ht="12.75">
      <c r="F512" s="12"/>
    </row>
    <row r="513" spans="6:6" ht="12.75">
      <c r="F513" s="12"/>
    </row>
    <row r="514" spans="6:6" ht="12.75">
      <c r="F514" s="12"/>
    </row>
    <row r="515" spans="6:6" ht="12.75">
      <c r="F515" s="12"/>
    </row>
    <row r="516" spans="6:6" ht="12.75">
      <c r="F516" s="12"/>
    </row>
    <row r="517" spans="6:6" ht="12.75">
      <c r="F517" s="12"/>
    </row>
    <row r="518" spans="6:6" ht="12.75">
      <c r="F518" s="12"/>
    </row>
    <row r="519" spans="6:6" ht="12.75">
      <c r="F519" s="12"/>
    </row>
    <row r="520" spans="6:6" ht="12.75">
      <c r="F520" s="12"/>
    </row>
    <row r="521" spans="6:6" ht="12.75">
      <c r="F521" s="12"/>
    </row>
    <row r="522" spans="6:6" ht="12.75">
      <c r="F522" s="12"/>
    </row>
    <row r="523" spans="6:6" ht="12.75">
      <c r="F523" s="12"/>
    </row>
    <row r="524" spans="6:6" ht="12.75">
      <c r="F524" s="12"/>
    </row>
    <row r="525" spans="6:6" ht="12.75">
      <c r="F525" s="12"/>
    </row>
    <row r="526" spans="6:6" ht="12.75">
      <c r="F526" s="12"/>
    </row>
    <row r="527" spans="6:6" ht="12.75">
      <c r="F527" s="12"/>
    </row>
    <row r="528" spans="6:6" ht="12.75">
      <c r="F528" s="12"/>
    </row>
    <row r="529" spans="6:6" ht="12.75">
      <c r="F529" s="12"/>
    </row>
    <row r="530" spans="6:6" ht="12.75">
      <c r="F530" s="12"/>
    </row>
    <row r="531" spans="6:6" ht="12.75">
      <c r="F531" s="12"/>
    </row>
    <row r="532" spans="6:6" ht="12.75">
      <c r="F532" s="12"/>
    </row>
    <row r="533" spans="6:6" ht="12.75">
      <c r="F533" s="12"/>
    </row>
    <row r="534" spans="6:6" ht="12.75">
      <c r="F534" s="12"/>
    </row>
    <row r="535" spans="6:6" ht="12.75">
      <c r="F535" s="12"/>
    </row>
    <row r="536" spans="6:6" ht="12.75">
      <c r="F536" s="12"/>
    </row>
    <row r="537" spans="6:6" ht="12.75">
      <c r="F537" s="12"/>
    </row>
    <row r="538" spans="6:6" ht="12.75">
      <c r="F538" s="12"/>
    </row>
    <row r="539" spans="6:6" ht="12.75">
      <c r="F539" s="12"/>
    </row>
    <row r="540" spans="6:6" ht="12.75">
      <c r="F540" s="12"/>
    </row>
    <row r="541" spans="6:6" ht="12.75">
      <c r="F541" s="12"/>
    </row>
    <row r="542" spans="6:6" ht="12.75">
      <c r="F542" s="12"/>
    </row>
    <row r="543" spans="6:6" ht="12.75">
      <c r="F543" s="12"/>
    </row>
    <row r="544" spans="6:6" ht="12.75">
      <c r="F544" s="12"/>
    </row>
    <row r="545" spans="6:6" ht="12.75">
      <c r="F545" s="12"/>
    </row>
    <row r="546" spans="6:6" ht="12.75">
      <c r="F546" s="12"/>
    </row>
    <row r="547" spans="6:6" ht="12.75">
      <c r="F547" s="12"/>
    </row>
    <row r="548" spans="6:6" ht="12.75">
      <c r="F548" s="12"/>
    </row>
    <row r="549" spans="6:6" ht="12.75">
      <c r="F549" s="12"/>
    </row>
    <row r="550" spans="6:6" ht="12.75">
      <c r="F550" s="12"/>
    </row>
    <row r="551" spans="6:6" ht="12.75">
      <c r="F551" s="12"/>
    </row>
    <row r="552" spans="6:6" ht="12.75">
      <c r="F552" s="12"/>
    </row>
    <row r="553" spans="6:6" ht="12.75">
      <c r="F553" s="12"/>
    </row>
    <row r="554" spans="6:6" ht="12.75">
      <c r="F554" s="12"/>
    </row>
    <row r="555" spans="6:6" ht="12.75">
      <c r="F555" s="12"/>
    </row>
    <row r="556" spans="6:6" ht="12.75">
      <c r="F556" s="12"/>
    </row>
    <row r="557" spans="6:6" ht="12.75">
      <c r="F557" s="12"/>
    </row>
    <row r="558" spans="6:6" ht="12.75">
      <c r="F558" s="12"/>
    </row>
    <row r="559" spans="6:6" ht="12.75">
      <c r="F559" s="12"/>
    </row>
    <row r="560" spans="6:6" ht="12.75">
      <c r="F560" s="12"/>
    </row>
    <row r="561" spans="6:6" ht="12.75">
      <c r="F561" s="12"/>
    </row>
    <row r="562" spans="6:6" ht="12.75">
      <c r="F562" s="12"/>
    </row>
    <row r="563" spans="6:6" ht="12.75">
      <c r="F563" s="12"/>
    </row>
    <row r="564" spans="6:6" ht="12.75">
      <c r="F564" s="12"/>
    </row>
    <row r="565" spans="6:6" ht="12.75">
      <c r="F565" s="12"/>
    </row>
    <row r="566" spans="6:6" ht="12.75">
      <c r="F566" s="12"/>
    </row>
    <row r="567" spans="6:6" ht="12.75">
      <c r="F567" s="12"/>
    </row>
    <row r="568" spans="6:6" ht="12.75">
      <c r="F568" s="12"/>
    </row>
    <row r="569" spans="6:6" ht="12.75">
      <c r="F569" s="12"/>
    </row>
    <row r="570" spans="6:6" ht="12.75">
      <c r="F570" s="12"/>
    </row>
    <row r="571" spans="6:6" ht="12.75">
      <c r="F571" s="12"/>
    </row>
    <row r="572" spans="6:6" ht="12.75">
      <c r="F572" s="12"/>
    </row>
    <row r="573" spans="6:6" ht="12.75">
      <c r="F573" s="12"/>
    </row>
    <row r="574" spans="6:6" ht="12.75">
      <c r="F574" s="12"/>
    </row>
    <row r="575" spans="6:6" ht="12.75">
      <c r="F575" s="12"/>
    </row>
    <row r="576" spans="6:6" ht="12.75">
      <c r="F576" s="12"/>
    </row>
    <row r="577" spans="6:6" ht="12.75">
      <c r="F577" s="12"/>
    </row>
    <row r="578" spans="6:6" ht="12.75">
      <c r="F578" s="12"/>
    </row>
    <row r="579" spans="6:6" ht="12.75">
      <c r="F579" s="12"/>
    </row>
    <row r="580" spans="6:6" ht="12.75">
      <c r="F580" s="12"/>
    </row>
    <row r="581" spans="6:6" ht="12.75">
      <c r="F581" s="12"/>
    </row>
    <row r="582" spans="6:6" ht="12.75">
      <c r="F582" s="12"/>
    </row>
    <row r="583" spans="6:6" ht="12.75">
      <c r="F583" s="12"/>
    </row>
    <row r="584" spans="6:6" ht="12.75">
      <c r="F584" s="12"/>
    </row>
    <row r="585" spans="6:6" ht="12.75">
      <c r="F585" s="12"/>
    </row>
    <row r="586" spans="6:6" ht="12.75">
      <c r="F586" s="12"/>
    </row>
    <row r="587" spans="6:6" ht="12.75">
      <c r="F587" s="12"/>
    </row>
    <row r="588" spans="6:6" ht="12.75">
      <c r="F588" s="12"/>
    </row>
    <row r="589" spans="6:6" ht="12.75">
      <c r="F589" s="12"/>
    </row>
    <row r="590" spans="6:6" ht="12.75">
      <c r="F590" s="12"/>
    </row>
    <row r="591" spans="6:6" ht="12.75">
      <c r="F591" s="12"/>
    </row>
    <row r="592" spans="6:6" ht="12.75">
      <c r="F592" s="12"/>
    </row>
    <row r="593" spans="6:6" ht="12.75">
      <c r="F593" s="12"/>
    </row>
    <row r="594" spans="6:6" ht="12.75">
      <c r="F594" s="12"/>
    </row>
    <row r="595" spans="6:6" ht="12.75">
      <c r="F595" s="12"/>
    </row>
    <row r="596" spans="6:6" ht="12.75">
      <c r="F596" s="12"/>
    </row>
    <row r="597" spans="6:6" ht="12.75">
      <c r="F597" s="12"/>
    </row>
    <row r="598" spans="6:6" ht="12.75">
      <c r="F598" s="12"/>
    </row>
    <row r="599" spans="6:6" ht="12.75">
      <c r="F599" s="12"/>
    </row>
    <row r="600" spans="6:6" ht="12.75">
      <c r="F600" s="12"/>
    </row>
    <row r="601" spans="6:6" ht="12.75">
      <c r="F601" s="12"/>
    </row>
    <row r="602" spans="6:6" ht="12.75">
      <c r="F602" s="12"/>
    </row>
    <row r="603" spans="6:6" ht="12.75">
      <c r="F603" s="12"/>
    </row>
    <row r="604" spans="6:6" ht="12.75">
      <c r="F604" s="12"/>
    </row>
    <row r="605" spans="6:6" ht="12.75">
      <c r="F605" s="12"/>
    </row>
    <row r="606" spans="6:6" ht="12.75">
      <c r="F606" s="12"/>
    </row>
    <row r="607" spans="6:6" ht="12.75">
      <c r="F607" s="12"/>
    </row>
    <row r="608" spans="6:6" ht="12.75">
      <c r="F608" s="12"/>
    </row>
    <row r="609" spans="6:6" ht="12.75">
      <c r="F609" s="12"/>
    </row>
    <row r="610" spans="6:6" ht="12.75">
      <c r="F610" s="12"/>
    </row>
    <row r="611" spans="6:6" ht="12.75">
      <c r="F611" s="12"/>
    </row>
    <row r="612" spans="6:6" ht="12.75">
      <c r="F612" s="12"/>
    </row>
    <row r="613" spans="6:6" ht="12.75">
      <c r="F613" s="12"/>
    </row>
    <row r="614" spans="6:6" ht="12.75">
      <c r="F614" s="12"/>
    </row>
    <row r="615" spans="6:6" ht="12.75">
      <c r="F615" s="12"/>
    </row>
    <row r="616" spans="6:6" ht="12.75">
      <c r="F616" s="12"/>
    </row>
    <row r="617" spans="6:6" ht="12.75">
      <c r="F617" s="12"/>
    </row>
    <row r="618" spans="6:6" ht="12.75">
      <c r="F618" s="12"/>
    </row>
    <row r="619" spans="6:6" ht="12.75">
      <c r="F619" s="12"/>
    </row>
    <row r="620" spans="6:6" ht="12.75">
      <c r="F620" s="12"/>
    </row>
    <row r="621" spans="6:6" ht="12.75">
      <c r="F621" s="12"/>
    </row>
    <row r="622" spans="6:6" ht="12.75">
      <c r="F622" s="12"/>
    </row>
    <row r="623" spans="6:6" ht="12.75">
      <c r="F623" s="12"/>
    </row>
    <row r="624" spans="6:6" ht="12.75">
      <c r="F624" s="12"/>
    </row>
    <row r="625" spans="6:6" ht="12.75">
      <c r="F625" s="12"/>
    </row>
    <row r="626" spans="6:6" ht="12.75">
      <c r="F626" s="12"/>
    </row>
    <row r="627" spans="6:6" ht="12.75">
      <c r="F627" s="12"/>
    </row>
    <row r="628" spans="6:6" ht="12.75">
      <c r="F628" s="12"/>
    </row>
    <row r="629" spans="6:6" ht="12.75">
      <c r="F629" s="12"/>
    </row>
    <row r="630" spans="6:6" ht="12.75">
      <c r="F630" s="12"/>
    </row>
    <row r="631" spans="6:6" ht="12.75">
      <c r="F631" s="12"/>
    </row>
    <row r="632" spans="6:6" ht="12.75">
      <c r="F632" s="12"/>
    </row>
    <row r="633" spans="6:6" ht="12.75">
      <c r="F633" s="12"/>
    </row>
    <row r="634" spans="6:6" ht="12.75">
      <c r="F634" s="12"/>
    </row>
    <row r="635" spans="6:6" ht="12.75">
      <c r="F635" s="12"/>
    </row>
    <row r="636" spans="6:6" ht="12.75">
      <c r="F636" s="12"/>
    </row>
    <row r="637" spans="6:6" ht="12.75">
      <c r="F637" s="12"/>
    </row>
    <row r="638" spans="6:6" ht="12.75">
      <c r="F638" s="12"/>
    </row>
    <row r="639" spans="6:6" ht="12.75">
      <c r="F639" s="12"/>
    </row>
    <row r="640" spans="6:6" ht="12.75">
      <c r="F640" s="12"/>
    </row>
    <row r="641" spans="6:6" ht="12.75">
      <c r="F641" s="12"/>
    </row>
    <row r="642" spans="6:6" ht="12.75">
      <c r="F642" s="12"/>
    </row>
    <row r="643" spans="6:6" ht="12.75">
      <c r="F643" s="12"/>
    </row>
    <row r="644" spans="6:6" ht="12.75">
      <c r="F644" s="12"/>
    </row>
    <row r="645" spans="6:6" ht="12.75">
      <c r="F645" s="12"/>
    </row>
    <row r="646" spans="6:6" ht="12.75">
      <c r="F646" s="12"/>
    </row>
    <row r="647" spans="6:6" ht="12.75">
      <c r="F647" s="12"/>
    </row>
    <row r="648" spans="6:6" ht="12.75">
      <c r="F648" s="12"/>
    </row>
    <row r="649" spans="6:6" ht="12.75">
      <c r="F649" s="12"/>
    </row>
    <row r="650" spans="6:6" ht="12.75">
      <c r="F650" s="12"/>
    </row>
    <row r="651" spans="6:6" ht="12.75">
      <c r="F651" s="12"/>
    </row>
    <row r="652" spans="6:6" ht="12.75">
      <c r="F652" s="12"/>
    </row>
    <row r="653" spans="6:6" ht="12.75">
      <c r="F653" s="12"/>
    </row>
    <row r="654" spans="6:6" ht="12.75">
      <c r="F654" s="12"/>
    </row>
    <row r="655" spans="6:6" ht="12.75">
      <c r="F655" s="12"/>
    </row>
    <row r="656" spans="6:6" ht="12.75">
      <c r="F656" s="12"/>
    </row>
    <row r="657" spans="6:6" ht="12.75">
      <c r="F657" s="12"/>
    </row>
    <row r="658" spans="6:6" ht="12.75">
      <c r="F658" s="12"/>
    </row>
    <row r="659" spans="6:6" ht="12.75">
      <c r="F659" s="12"/>
    </row>
    <row r="660" spans="6:6" ht="12.75">
      <c r="F660" s="12"/>
    </row>
    <row r="661" spans="6:6" ht="12.75">
      <c r="F661" s="12"/>
    </row>
    <row r="662" spans="6:6" ht="12.75">
      <c r="F662" s="12"/>
    </row>
    <row r="663" spans="6:6" ht="12.75">
      <c r="F663" s="12"/>
    </row>
    <row r="664" spans="6:6" ht="12.75">
      <c r="F664" s="12"/>
    </row>
    <row r="665" spans="6:6" ht="12.75">
      <c r="F665" s="12"/>
    </row>
    <row r="666" spans="6:6" ht="12.75">
      <c r="F666" s="12"/>
    </row>
    <row r="667" spans="6:6" ht="12.75">
      <c r="F667" s="12"/>
    </row>
    <row r="668" spans="6:6" ht="12.75">
      <c r="F668" s="12"/>
    </row>
    <row r="669" spans="6:6" ht="12.75">
      <c r="F669" s="12"/>
    </row>
    <row r="670" spans="6:6" ht="12.75">
      <c r="F670" s="12"/>
    </row>
    <row r="671" spans="6:6" ht="12.75">
      <c r="F671" s="12"/>
    </row>
    <row r="672" spans="6:6" ht="12.75">
      <c r="F672" s="12"/>
    </row>
    <row r="673" spans="6:6" ht="12.75">
      <c r="F673" s="12"/>
    </row>
    <row r="674" spans="6:6" ht="12.75">
      <c r="F674" s="12"/>
    </row>
    <row r="675" spans="6:6" ht="12.75">
      <c r="F675" s="12"/>
    </row>
    <row r="676" spans="6:6" ht="12.75">
      <c r="F676" s="12"/>
    </row>
    <row r="677" spans="6:6" ht="12.75">
      <c r="F677" s="12"/>
    </row>
    <row r="678" spans="6:6" ht="12.75">
      <c r="F678" s="12"/>
    </row>
    <row r="679" spans="6:6" ht="12.75">
      <c r="F679" s="12"/>
    </row>
    <row r="680" spans="6:6" ht="12.75">
      <c r="F680" s="12"/>
    </row>
    <row r="681" spans="6:6" ht="12.75">
      <c r="F681" s="12"/>
    </row>
    <row r="682" spans="6:6" ht="12.75">
      <c r="F682" s="12"/>
    </row>
    <row r="683" spans="6:6" ht="12.75">
      <c r="F683" s="12"/>
    </row>
    <row r="684" spans="6:6" ht="12.75">
      <c r="F684" s="12"/>
    </row>
    <row r="685" spans="6:6" ht="12.75">
      <c r="F685" s="12"/>
    </row>
    <row r="686" spans="6:6" ht="12.75">
      <c r="F686" s="12"/>
    </row>
    <row r="687" spans="6:6" ht="12.75">
      <c r="F687" s="12"/>
    </row>
    <row r="688" spans="6:6" ht="12.75">
      <c r="F688" s="12"/>
    </row>
    <row r="689" spans="6:6" ht="12.75">
      <c r="F689" s="12"/>
    </row>
    <row r="690" spans="6:6" ht="12.75">
      <c r="F690" s="12"/>
    </row>
    <row r="691" spans="6:6" ht="12.75">
      <c r="F691" s="12"/>
    </row>
    <row r="692" spans="6:6" ht="12.75">
      <c r="F692" s="12"/>
    </row>
    <row r="693" spans="6:6" ht="12.75">
      <c r="F693" s="12"/>
    </row>
    <row r="694" spans="6:6" ht="12.75">
      <c r="F694" s="12"/>
    </row>
    <row r="695" spans="6:6" ht="12.75">
      <c r="F695" s="12"/>
    </row>
    <row r="696" spans="6:6" ht="12.75">
      <c r="F696" s="12"/>
    </row>
    <row r="697" spans="6:6" ht="12.75">
      <c r="F697" s="12"/>
    </row>
    <row r="698" spans="6:6" ht="12.75">
      <c r="F698" s="12"/>
    </row>
    <row r="699" spans="6:6" ht="12.75">
      <c r="F699" s="12"/>
    </row>
    <row r="700" spans="6:6" ht="12.75">
      <c r="F700" s="12"/>
    </row>
    <row r="701" spans="6:6" ht="12.75">
      <c r="F701" s="12"/>
    </row>
    <row r="702" spans="6:6" ht="12.75">
      <c r="F702" s="12"/>
    </row>
    <row r="703" spans="6:6" ht="12.75">
      <c r="F703" s="12"/>
    </row>
    <row r="704" spans="6:6" ht="12.75">
      <c r="F704" s="12"/>
    </row>
    <row r="705" spans="6:6" ht="12.75">
      <c r="F705" s="12"/>
    </row>
    <row r="706" spans="6:6" ht="12.75">
      <c r="F706" s="12"/>
    </row>
    <row r="707" spans="6:6" ht="12.75">
      <c r="F707" s="12"/>
    </row>
    <row r="708" spans="6:6" ht="12.75">
      <c r="F708" s="12"/>
    </row>
    <row r="709" spans="6:6" ht="12.75">
      <c r="F709" s="12"/>
    </row>
    <row r="710" spans="6:6" ht="12.75">
      <c r="F710" s="12"/>
    </row>
    <row r="711" spans="6:6" ht="12.75">
      <c r="F711" s="12"/>
    </row>
    <row r="712" spans="6:6" ht="12.75">
      <c r="F712" s="12"/>
    </row>
    <row r="713" spans="6:6" ht="12.75">
      <c r="F713" s="12"/>
    </row>
    <row r="714" spans="6:6" ht="12.75">
      <c r="F714" s="12"/>
    </row>
    <row r="715" spans="6:6" ht="12.75">
      <c r="F715" s="12"/>
    </row>
    <row r="716" spans="6:6" ht="12.75">
      <c r="F716" s="12"/>
    </row>
    <row r="717" spans="6:6" ht="12.75">
      <c r="F717" s="12"/>
    </row>
    <row r="718" spans="6:6" ht="12.75">
      <c r="F718" s="12"/>
    </row>
    <row r="719" spans="6:6" ht="12.75">
      <c r="F719" s="12"/>
    </row>
    <row r="720" spans="6:6" ht="12.75">
      <c r="F720" s="12"/>
    </row>
    <row r="721" spans="6:6" ht="12.75">
      <c r="F721" s="12"/>
    </row>
    <row r="722" spans="6:6" ht="12.75">
      <c r="F722" s="12"/>
    </row>
    <row r="723" spans="6:6" ht="12.75">
      <c r="F723" s="12"/>
    </row>
    <row r="724" spans="6:6" ht="12.75">
      <c r="F724" s="12"/>
    </row>
    <row r="725" spans="6:6" ht="12.75">
      <c r="F725" s="12"/>
    </row>
    <row r="726" spans="6:6" ht="12.75">
      <c r="F726" s="12"/>
    </row>
    <row r="727" spans="6:6" ht="12.75">
      <c r="F727" s="12"/>
    </row>
    <row r="728" spans="6:6" ht="12.75">
      <c r="F728" s="12"/>
    </row>
    <row r="729" spans="6:6" ht="12.75">
      <c r="F729" s="12"/>
    </row>
    <row r="730" spans="6:6" ht="12.75">
      <c r="F730" s="12"/>
    </row>
    <row r="731" spans="6:6" ht="12.75">
      <c r="F731" s="12"/>
    </row>
    <row r="732" spans="6:6" ht="12.75">
      <c r="F732" s="12"/>
    </row>
    <row r="733" spans="6:6" ht="12.75">
      <c r="F733" s="12"/>
    </row>
    <row r="734" spans="6:6" ht="12.75">
      <c r="F734" s="12"/>
    </row>
    <row r="735" spans="6:6" ht="12.75">
      <c r="F735" s="12"/>
    </row>
    <row r="736" spans="6:6" ht="12.75">
      <c r="F736" s="12"/>
    </row>
    <row r="737" spans="6:6" ht="12.75">
      <c r="F737" s="12"/>
    </row>
    <row r="738" spans="6:6" ht="12.75">
      <c r="F738" s="12"/>
    </row>
    <row r="739" spans="6:6" ht="12.75">
      <c r="F739" s="12"/>
    </row>
    <row r="740" spans="6:6" ht="12.75">
      <c r="F740" s="12"/>
    </row>
    <row r="741" spans="6:6" ht="12.75">
      <c r="F741" s="12"/>
    </row>
    <row r="742" spans="6:6" ht="12.75">
      <c r="F742" s="12"/>
    </row>
    <row r="743" spans="6:6" ht="12.75">
      <c r="F743" s="12"/>
    </row>
    <row r="744" spans="6:6" ht="12.75">
      <c r="F744" s="12"/>
    </row>
    <row r="745" spans="6:6" ht="12.75">
      <c r="F745" s="12"/>
    </row>
    <row r="746" spans="6:6" ht="12.75">
      <c r="F746" s="12"/>
    </row>
    <row r="747" spans="6:6" ht="12.75">
      <c r="F747" s="12"/>
    </row>
    <row r="748" spans="6:6" ht="12.75">
      <c r="F748" s="12"/>
    </row>
    <row r="749" spans="6:6" ht="12.75">
      <c r="F749" s="12"/>
    </row>
    <row r="750" spans="6:6" ht="12.75">
      <c r="F750" s="12"/>
    </row>
    <row r="751" spans="6:6" ht="12.75">
      <c r="F751" s="12"/>
    </row>
    <row r="752" spans="6:6" ht="12.75">
      <c r="F752" s="12"/>
    </row>
    <row r="753" spans="6:6" ht="12.75">
      <c r="F753" s="12"/>
    </row>
    <row r="754" spans="6:6" ht="12.75">
      <c r="F754" s="12"/>
    </row>
    <row r="755" spans="6:6" ht="12.75">
      <c r="F755" s="12"/>
    </row>
    <row r="756" spans="6:6" ht="12.75">
      <c r="F756" s="12"/>
    </row>
    <row r="757" spans="6:6" ht="12.75">
      <c r="F757" s="12"/>
    </row>
    <row r="758" spans="6:6" ht="12.75">
      <c r="F758" s="12"/>
    </row>
    <row r="759" spans="6:6" ht="12.75">
      <c r="F759" s="12"/>
    </row>
    <row r="760" spans="6:6" ht="12.75">
      <c r="F760" s="12"/>
    </row>
    <row r="761" spans="6:6" ht="12.75">
      <c r="F761" s="12"/>
    </row>
    <row r="762" spans="6:6" ht="12.75">
      <c r="F762" s="12"/>
    </row>
    <row r="763" spans="6:6" ht="12.75">
      <c r="F763" s="12"/>
    </row>
    <row r="764" spans="6:6" ht="12.75">
      <c r="F764" s="12"/>
    </row>
    <row r="765" spans="6:6" ht="12.75">
      <c r="F765" s="12"/>
    </row>
    <row r="766" spans="6:6" ht="12.75">
      <c r="F766" s="12"/>
    </row>
    <row r="767" spans="6:6" ht="12.75">
      <c r="F767" s="12"/>
    </row>
    <row r="768" spans="6:6" ht="12.75">
      <c r="F768" s="12"/>
    </row>
    <row r="769" spans="6:6" ht="12.75">
      <c r="F769" s="12"/>
    </row>
    <row r="770" spans="6:6" ht="12.75">
      <c r="F770" s="12"/>
    </row>
    <row r="771" spans="6:6" ht="12.75">
      <c r="F771" s="12"/>
    </row>
    <row r="772" spans="6:6" ht="12.75">
      <c r="F772" s="12"/>
    </row>
    <row r="773" spans="6:6" ht="12.75">
      <c r="F773" s="12"/>
    </row>
    <row r="774" spans="6:6" ht="12.75">
      <c r="F774" s="12"/>
    </row>
    <row r="775" spans="6:6" ht="12.75">
      <c r="F775" s="12"/>
    </row>
    <row r="776" spans="6:6" ht="12.75">
      <c r="F776" s="12"/>
    </row>
    <row r="777" spans="6:6" ht="12.75">
      <c r="F777" s="12"/>
    </row>
    <row r="778" spans="6:6" ht="12.75">
      <c r="F778" s="12"/>
    </row>
    <row r="779" spans="6:6" ht="12.75">
      <c r="F779" s="12"/>
    </row>
    <row r="780" spans="6:6" ht="12.75">
      <c r="F780" s="12"/>
    </row>
    <row r="781" spans="6:6" ht="12.75">
      <c r="F781" s="12"/>
    </row>
    <row r="782" spans="6:6" ht="12.75">
      <c r="F782" s="12"/>
    </row>
    <row r="783" spans="6:6" ht="12.75">
      <c r="F783" s="12"/>
    </row>
    <row r="784" spans="6:6" ht="12.75">
      <c r="F784" s="12"/>
    </row>
    <row r="785" spans="6:6" ht="12.75">
      <c r="F785" s="12"/>
    </row>
    <row r="786" spans="6:6" ht="12.75">
      <c r="F786" s="12"/>
    </row>
    <row r="787" spans="6:6" ht="12.75">
      <c r="F787" s="12"/>
    </row>
    <row r="788" spans="6:6" ht="12.75">
      <c r="F788" s="12"/>
    </row>
    <row r="789" spans="6:6" ht="12.75">
      <c r="F789" s="12"/>
    </row>
    <row r="790" spans="6:6" ht="12.75">
      <c r="F790" s="12"/>
    </row>
    <row r="791" spans="6:6" ht="12.75">
      <c r="F791" s="12"/>
    </row>
    <row r="792" spans="6:6" ht="12.75">
      <c r="F792" s="12"/>
    </row>
    <row r="793" spans="6:6" ht="12.75">
      <c r="F793" s="12"/>
    </row>
    <row r="794" spans="6:6" ht="12.75">
      <c r="F794" s="12"/>
    </row>
    <row r="795" spans="6:6" ht="12.75">
      <c r="F795" s="12"/>
    </row>
    <row r="796" spans="6:6" ht="12.75">
      <c r="F796" s="12"/>
    </row>
    <row r="797" spans="6:6" ht="12.75">
      <c r="F797" s="12"/>
    </row>
    <row r="798" spans="6:6" ht="12.75">
      <c r="F798" s="12"/>
    </row>
    <row r="799" spans="6:6" ht="12.75">
      <c r="F799" s="12"/>
    </row>
    <row r="800" spans="6:6" ht="12.75">
      <c r="F800" s="12"/>
    </row>
    <row r="801" spans="6:6" ht="12.75">
      <c r="F801" s="12"/>
    </row>
    <row r="802" spans="6:6" ht="12.75">
      <c r="F802" s="12"/>
    </row>
    <row r="803" spans="6:6" ht="12.75">
      <c r="F803" s="12"/>
    </row>
    <row r="804" spans="6:6" ht="12.75">
      <c r="F804" s="12"/>
    </row>
    <row r="805" spans="6:6" ht="12.75">
      <c r="F805" s="12"/>
    </row>
    <row r="806" spans="6:6" ht="12.75">
      <c r="F806" s="12"/>
    </row>
    <row r="807" spans="6:6" ht="12.75">
      <c r="F807" s="12"/>
    </row>
    <row r="808" spans="6:6" ht="12.75">
      <c r="F808" s="12"/>
    </row>
    <row r="809" spans="6:6" ht="12.75">
      <c r="F809" s="12"/>
    </row>
    <row r="810" spans="6:6" ht="12.75">
      <c r="F810" s="12"/>
    </row>
    <row r="811" spans="6:6" ht="12.75">
      <c r="F811" s="12"/>
    </row>
    <row r="812" spans="6:6" ht="12.75">
      <c r="F812" s="12"/>
    </row>
    <row r="813" spans="6:6" ht="12.75">
      <c r="F813" s="12"/>
    </row>
    <row r="814" spans="6:6" ht="12.75">
      <c r="F814" s="12"/>
    </row>
    <row r="815" spans="6:6" ht="12.75">
      <c r="F815" s="12"/>
    </row>
    <row r="816" spans="6:6" ht="12.75">
      <c r="F816" s="12"/>
    </row>
    <row r="817" spans="6:6" ht="12.75">
      <c r="F817" s="12"/>
    </row>
    <row r="818" spans="6:6" ht="12.75">
      <c r="F818" s="12"/>
    </row>
    <row r="819" spans="6:6" ht="12.75">
      <c r="F819" s="12"/>
    </row>
    <row r="820" spans="6:6" ht="12.75">
      <c r="F820" s="12"/>
    </row>
    <row r="821" spans="6:6" ht="12.75">
      <c r="F821" s="12"/>
    </row>
    <row r="822" spans="6:6" ht="12.75">
      <c r="F822" s="12"/>
    </row>
    <row r="823" spans="6:6" ht="12.75">
      <c r="F823" s="12"/>
    </row>
    <row r="824" spans="6:6" ht="12.75">
      <c r="F824" s="12"/>
    </row>
    <row r="825" spans="6:6" ht="12.75">
      <c r="F825" s="12"/>
    </row>
    <row r="826" spans="6:6" ht="12.75">
      <c r="F826" s="12"/>
    </row>
    <row r="827" spans="6:6" ht="12.75">
      <c r="F827" s="12"/>
    </row>
    <row r="828" spans="6:6" ht="12.75">
      <c r="F828" s="12"/>
    </row>
    <row r="829" spans="6:6" ht="12.75">
      <c r="F829" s="12"/>
    </row>
    <row r="830" spans="6:6" ht="12.75">
      <c r="F830" s="12"/>
    </row>
    <row r="831" spans="6:6" ht="12.75">
      <c r="F831" s="12"/>
    </row>
    <row r="832" spans="6:6" ht="12.75">
      <c r="F832" s="12"/>
    </row>
    <row r="833" spans="6:6" ht="12.75">
      <c r="F833" s="12"/>
    </row>
    <row r="834" spans="6:6" ht="12.75">
      <c r="F834" s="12"/>
    </row>
    <row r="835" spans="6:6" ht="12.75">
      <c r="F835" s="12"/>
    </row>
    <row r="836" spans="6:6" ht="12.75">
      <c r="F836" s="12"/>
    </row>
    <row r="837" spans="6:6" ht="12.75">
      <c r="F837" s="12"/>
    </row>
    <row r="838" spans="6:6" ht="12.75">
      <c r="F838" s="12"/>
    </row>
    <row r="839" spans="6:6" ht="12.75">
      <c r="F839" s="12"/>
    </row>
    <row r="840" spans="6:6" ht="12.75">
      <c r="F840" s="12"/>
    </row>
    <row r="841" spans="6:6" ht="12.75">
      <c r="F841" s="12"/>
    </row>
    <row r="842" spans="6:6" ht="12.75">
      <c r="F842" s="12"/>
    </row>
    <row r="843" spans="6:6" ht="12.75">
      <c r="F843" s="12"/>
    </row>
    <row r="844" spans="6:6" ht="12.75">
      <c r="F844" s="12"/>
    </row>
    <row r="845" spans="6:6" ht="12.75">
      <c r="F845" s="12"/>
    </row>
    <row r="846" spans="6:6" ht="12.75">
      <c r="F846" s="12"/>
    </row>
    <row r="847" spans="6:6" ht="12.75">
      <c r="F847" s="12"/>
    </row>
    <row r="848" spans="6:6" ht="12.75">
      <c r="F848" s="12"/>
    </row>
    <row r="849" spans="6:6" ht="12.75">
      <c r="F849" s="12"/>
    </row>
    <row r="850" spans="6:6" ht="12.75">
      <c r="F850" s="12"/>
    </row>
    <row r="851" spans="6:6" ht="12.75">
      <c r="F851" s="12"/>
    </row>
    <row r="852" spans="6:6" ht="12.75">
      <c r="F852" s="12"/>
    </row>
    <row r="853" spans="6:6" ht="12.75">
      <c r="F853" s="12"/>
    </row>
    <row r="854" spans="6:6" ht="12.75">
      <c r="F854" s="12"/>
    </row>
    <row r="855" spans="6:6" ht="12.75">
      <c r="F855" s="12"/>
    </row>
    <row r="856" spans="6:6" ht="12.75">
      <c r="F856" s="12"/>
    </row>
    <row r="857" spans="6:6" ht="12.75">
      <c r="F857" s="12"/>
    </row>
    <row r="858" spans="6:6" ht="12.75">
      <c r="F858" s="12"/>
    </row>
    <row r="859" spans="6:6" ht="12.75">
      <c r="F859" s="12"/>
    </row>
    <row r="860" spans="6:6" ht="12.75">
      <c r="F860" s="12"/>
    </row>
    <row r="861" spans="6:6" ht="12.75">
      <c r="F861" s="12"/>
    </row>
    <row r="862" spans="6:6" ht="12.75">
      <c r="F862" s="12"/>
    </row>
    <row r="863" spans="6:6" ht="12.75">
      <c r="F863" s="12"/>
    </row>
    <row r="864" spans="6:6" ht="12.75">
      <c r="F864" s="12"/>
    </row>
    <row r="865" spans="6:6" ht="12.75">
      <c r="F865" s="12"/>
    </row>
    <row r="866" spans="6:6" ht="12.75">
      <c r="F866" s="12"/>
    </row>
    <row r="867" spans="6:6" ht="12.75">
      <c r="F867" s="12"/>
    </row>
    <row r="868" spans="6:6" ht="12.75">
      <c r="F868" s="12"/>
    </row>
    <row r="869" spans="6:6" ht="12.75">
      <c r="F869" s="12"/>
    </row>
    <row r="870" spans="6:6" ht="12.75">
      <c r="F870" s="12"/>
    </row>
    <row r="871" spans="6:6" ht="12.75">
      <c r="F871" s="12"/>
    </row>
    <row r="872" spans="6:6" ht="12.75">
      <c r="F872" s="12"/>
    </row>
    <row r="873" spans="6:6" ht="12.75">
      <c r="F873" s="12"/>
    </row>
    <row r="874" spans="6:6" ht="12.75">
      <c r="F874" s="12"/>
    </row>
    <row r="875" spans="6:6" ht="12.75">
      <c r="F875" s="12"/>
    </row>
    <row r="876" spans="6:6" ht="12.75">
      <c r="F876" s="12"/>
    </row>
    <row r="877" spans="6:6" ht="12.75">
      <c r="F877" s="12"/>
    </row>
    <row r="878" spans="6:6" ht="12.75">
      <c r="F878" s="12"/>
    </row>
    <row r="879" spans="6:6" ht="12.75">
      <c r="F879" s="12"/>
    </row>
    <row r="880" spans="6:6" ht="12.75">
      <c r="F880" s="12"/>
    </row>
    <row r="881" spans="6:6" ht="12.75">
      <c r="F881" s="12"/>
    </row>
    <row r="882" spans="6:6" ht="12.75">
      <c r="F882" s="12"/>
    </row>
    <row r="883" spans="6:6" ht="12.75">
      <c r="F883" s="12"/>
    </row>
    <row r="884" spans="6:6" ht="12.75">
      <c r="F884" s="12"/>
    </row>
    <row r="885" spans="6:6" ht="12.75">
      <c r="F885" s="12"/>
    </row>
    <row r="886" spans="6:6" ht="12.75">
      <c r="F886" s="12"/>
    </row>
    <row r="887" spans="6:6" ht="12.75">
      <c r="F887" s="12"/>
    </row>
    <row r="888" spans="6:6" ht="12.75">
      <c r="F888" s="12"/>
    </row>
    <row r="889" spans="6:6" ht="12.75">
      <c r="F889" s="12"/>
    </row>
    <row r="890" spans="6:6" ht="12.75">
      <c r="F890" s="12"/>
    </row>
    <row r="891" spans="6:6" ht="12.75">
      <c r="F891" s="12"/>
    </row>
    <row r="892" spans="6:6" ht="12.75">
      <c r="F892" s="12"/>
    </row>
    <row r="893" spans="6:6" ht="12.75">
      <c r="F893" s="12"/>
    </row>
    <row r="894" spans="6:6" ht="12.75">
      <c r="F894" s="12"/>
    </row>
    <row r="895" spans="6:6" ht="12.75">
      <c r="F895" s="12"/>
    </row>
    <row r="896" spans="6:6" ht="12.75">
      <c r="F896" s="12"/>
    </row>
    <row r="897" spans="6:6" ht="12.75">
      <c r="F897" s="12"/>
    </row>
    <row r="898" spans="6:6" ht="12.75">
      <c r="F898" s="12"/>
    </row>
    <row r="899" spans="6:6" ht="12.75">
      <c r="F899" s="12"/>
    </row>
    <row r="900" spans="6:6" ht="12.75">
      <c r="F900" s="12"/>
    </row>
    <row r="901" spans="6:6" ht="12.75">
      <c r="F901" s="12"/>
    </row>
    <row r="902" spans="6:6" ht="12.75">
      <c r="F902" s="12"/>
    </row>
    <row r="903" spans="6:6" ht="12.75">
      <c r="F903" s="12"/>
    </row>
    <row r="904" spans="6:6" ht="12.75">
      <c r="F904" s="12"/>
    </row>
    <row r="905" spans="6:6" ht="12.75">
      <c r="F905" s="12"/>
    </row>
    <row r="906" spans="6:6" ht="12.75">
      <c r="F906" s="12"/>
    </row>
    <row r="907" spans="6:6" ht="12.75">
      <c r="F907" s="12"/>
    </row>
    <row r="908" spans="6:6" ht="12.75">
      <c r="F908" s="12"/>
    </row>
    <row r="909" spans="6:6" ht="12.75">
      <c r="F909" s="12"/>
    </row>
    <row r="910" spans="6:6" ht="12.75">
      <c r="F910" s="12"/>
    </row>
    <row r="911" spans="6:6" ht="12.75">
      <c r="F911" s="12"/>
    </row>
    <row r="912" spans="6:6" ht="12.75">
      <c r="F912" s="12"/>
    </row>
    <row r="913" spans="6:6" ht="12.75">
      <c r="F913" s="12"/>
    </row>
    <row r="914" spans="6:6" ht="12.75">
      <c r="F914" s="12"/>
    </row>
    <row r="915" spans="6:6" ht="12.75">
      <c r="F915" s="12"/>
    </row>
    <row r="916" spans="6:6" ht="12.75">
      <c r="F916" s="12"/>
    </row>
    <row r="917" spans="6:6" ht="12.75">
      <c r="F917" s="12"/>
    </row>
    <row r="918" spans="6:6" ht="12.75">
      <c r="F918" s="12"/>
    </row>
    <row r="919" spans="6:6" ht="12.75">
      <c r="F919" s="12"/>
    </row>
    <row r="920" spans="6:6" ht="12.75">
      <c r="F920" s="12"/>
    </row>
    <row r="921" spans="6:6" ht="12.75">
      <c r="F921" s="12"/>
    </row>
    <row r="922" spans="6:6" ht="12.75">
      <c r="F922" s="12"/>
    </row>
    <row r="923" spans="6:6" ht="12.75">
      <c r="F923" s="12"/>
    </row>
    <row r="924" spans="6:6" ht="12.75">
      <c r="F924" s="12"/>
    </row>
    <row r="925" spans="6:6" ht="12.75">
      <c r="F925" s="12"/>
    </row>
    <row r="926" spans="6:6" ht="12.75">
      <c r="F926" s="12"/>
    </row>
    <row r="927" spans="6:6" ht="12.75">
      <c r="F927" s="12"/>
    </row>
    <row r="928" spans="6:6" ht="12.75">
      <c r="F928" s="12"/>
    </row>
    <row r="929" spans="6:6" ht="12.75">
      <c r="F929" s="12"/>
    </row>
    <row r="930" spans="6:6" ht="12.75">
      <c r="F930" s="12"/>
    </row>
    <row r="931" spans="6:6" ht="12.75">
      <c r="F931" s="12"/>
    </row>
    <row r="932" spans="6:6" ht="12.75">
      <c r="F932" s="12"/>
    </row>
    <row r="933" spans="6:6" ht="12.75">
      <c r="F933" s="12"/>
    </row>
    <row r="934" spans="6:6" ht="12.75">
      <c r="F934" s="12"/>
    </row>
    <row r="935" spans="6:6" ht="12.75">
      <c r="F935" s="12"/>
    </row>
    <row r="936" spans="6:6" ht="12.75">
      <c r="F936" s="12"/>
    </row>
    <row r="937" spans="6:6" ht="12.75">
      <c r="F937" s="12"/>
    </row>
    <row r="938" spans="6:6" ht="12.75">
      <c r="F938" s="12"/>
    </row>
    <row r="939" spans="6:6" ht="12.75">
      <c r="F939" s="12"/>
    </row>
    <row r="940" spans="6:6" ht="12.75">
      <c r="F940" s="12"/>
    </row>
    <row r="941" spans="6:6" ht="12.75">
      <c r="F941" s="12"/>
    </row>
    <row r="942" spans="6:6" ht="12.75">
      <c r="F942" s="12"/>
    </row>
    <row r="943" spans="6:6" ht="12.75">
      <c r="F943" s="12"/>
    </row>
    <row r="944" spans="6:6" ht="12.75">
      <c r="F944" s="12"/>
    </row>
    <row r="945" spans="6:6" ht="12.75">
      <c r="F945" s="12"/>
    </row>
    <row r="946" spans="6:6" ht="12.75">
      <c r="F946" s="12"/>
    </row>
    <row r="947" spans="6:6" ht="12.75">
      <c r="F947" s="12"/>
    </row>
    <row r="948" spans="6:6" ht="12.75">
      <c r="F948" s="12"/>
    </row>
    <row r="949" spans="6:6" ht="12.75">
      <c r="F949" s="12"/>
    </row>
    <row r="950" spans="6:6" ht="12.75">
      <c r="F950" s="12"/>
    </row>
    <row r="951" spans="6:6" ht="12.75">
      <c r="F951" s="12"/>
    </row>
    <row r="952" spans="6:6" ht="12.75">
      <c r="F952" s="12"/>
    </row>
    <row r="953" spans="6:6" ht="12.75">
      <c r="F953" s="12"/>
    </row>
    <row r="954" spans="6:6" ht="12.75">
      <c r="F954" s="12"/>
    </row>
    <row r="955" spans="6:6" ht="12.75">
      <c r="F955" s="12"/>
    </row>
    <row r="956" spans="6:6" ht="12.75">
      <c r="F956" s="12"/>
    </row>
    <row r="957" spans="6:6" ht="12.75">
      <c r="F957" s="12"/>
    </row>
    <row r="958" spans="6:6" ht="12.75">
      <c r="F958" s="12"/>
    </row>
    <row r="959" spans="6:6" ht="12.75">
      <c r="F959" s="12"/>
    </row>
    <row r="960" spans="6:6" ht="12.75">
      <c r="F960" s="12"/>
    </row>
    <row r="961" spans="6:6" ht="12.75">
      <c r="F961" s="12"/>
    </row>
    <row r="962" spans="6:6" ht="12.75">
      <c r="F962" s="12"/>
    </row>
    <row r="963" spans="6:6" ht="12.75">
      <c r="F963" s="12"/>
    </row>
    <row r="964" spans="6:6" ht="12.75">
      <c r="F964" s="12"/>
    </row>
    <row r="965" spans="6:6" ht="12.75">
      <c r="F965" s="12"/>
    </row>
    <row r="966" spans="6:6" ht="12.75">
      <c r="F966" s="12"/>
    </row>
    <row r="967" spans="6:6" ht="12.75">
      <c r="F967" s="12"/>
    </row>
    <row r="968" spans="6:6" ht="12.75">
      <c r="F968" s="12"/>
    </row>
    <row r="969" spans="6:6" ht="12.75">
      <c r="F969" s="12"/>
    </row>
    <row r="970" spans="6:6" ht="12.75">
      <c r="F970" s="12"/>
    </row>
    <row r="971" spans="6:6" ht="12.75">
      <c r="F971" s="12"/>
    </row>
    <row r="972" spans="6:6" ht="12.75">
      <c r="F972" s="12"/>
    </row>
    <row r="973" spans="6:6" ht="12.75">
      <c r="F973" s="12"/>
    </row>
    <row r="974" spans="6:6" ht="12.75">
      <c r="F974" s="12"/>
    </row>
    <row r="975" spans="6:6" ht="12.75">
      <c r="F975" s="12"/>
    </row>
    <row r="976" spans="6:6" ht="12.75">
      <c r="F976" s="12"/>
    </row>
    <row r="977" spans="6:6" ht="12.75">
      <c r="F977" s="12"/>
    </row>
    <row r="978" spans="6:6" ht="12.75">
      <c r="F978" s="12"/>
    </row>
    <row r="979" spans="6:6" ht="12.75">
      <c r="F979" s="12"/>
    </row>
    <row r="980" spans="6:6" ht="12.75">
      <c r="F980" s="12"/>
    </row>
    <row r="981" spans="6:6" ht="12.75">
      <c r="F981" s="12"/>
    </row>
    <row r="982" spans="6:6" ht="12.75">
      <c r="F982" s="12"/>
    </row>
    <row r="983" spans="6:6" ht="12.75">
      <c r="F983" s="12"/>
    </row>
    <row r="984" spans="6:6" ht="12.75">
      <c r="F984" s="12"/>
    </row>
    <row r="985" spans="6:6" ht="12.75">
      <c r="F985" s="12"/>
    </row>
    <row r="986" spans="6:6" ht="12.75">
      <c r="F986" s="12"/>
    </row>
    <row r="987" spans="6:6" ht="12.75">
      <c r="F987" s="12"/>
    </row>
    <row r="988" spans="6:6" ht="12.75">
      <c r="F988" s="12"/>
    </row>
    <row r="989" spans="6:6" ht="12.75">
      <c r="F989" s="12"/>
    </row>
    <row r="990" spans="6:6" ht="12.75">
      <c r="F990" s="12"/>
    </row>
    <row r="991" spans="6:6" ht="12.75">
      <c r="F991" s="12"/>
    </row>
    <row r="992" spans="6:6" ht="12.75">
      <c r="F992" s="12"/>
    </row>
    <row r="993" spans="6:6" ht="12.75">
      <c r="F993" s="12"/>
    </row>
    <row r="994" spans="6:6" ht="12.75">
      <c r="F994" s="12"/>
    </row>
    <row r="995" spans="6:6" ht="12.75">
      <c r="F995" s="12"/>
    </row>
    <row r="996" spans="6:6" ht="12.75">
      <c r="F996" s="12"/>
    </row>
    <row r="997" spans="6:6" ht="12.75">
      <c r="F997" s="12"/>
    </row>
    <row r="998" spans="6:6" ht="12.75">
      <c r="F998" s="12"/>
    </row>
    <row r="999" spans="6:6" ht="12.75">
      <c r="F999" s="12"/>
    </row>
    <row r="1000" spans="6:6" ht="12.75">
      <c r="F1000" s="12"/>
    </row>
    <row r="1001" spans="6:6" ht="12.75">
      <c r="F1001" s="12"/>
    </row>
    <row r="1002" spans="6:6" ht="12.75">
      <c r="F1002" s="12"/>
    </row>
    <row r="1003" spans="6:6" ht="12.75">
      <c r="F1003" s="12"/>
    </row>
    <row r="1004" spans="6:6" ht="12.75">
      <c r="F1004" s="12"/>
    </row>
    <row r="1005" spans="6:6" ht="12.75">
      <c r="F1005" s="12"/>
    </row>
    <row r="1006" spans="6:6" ht="12.75">
      <c r="F1006" s="12"/>
    </row>
    <row r="1007" spans="6:6" ht="12.75">
      <c r="F1007" s="12"/>
    </row>
    <row r="1008" spans="6:6" ht="12.75">
      <c r="F1008" s="12"/>
    </row>
    <row r="1009" spans="6:6" ht="12.75">
      <c r="F1009" s="12"/>
    </row>
    <row r="1010" spans="6:6" ht="12.75">
      <c r="F1010" s="12"/>
    </row>
    <row r="1011" spans="6:6" ht="12.75">
      <c r="F1011" s="12"/>
    </row>
    <row r="1012" spans="6:6" ht="12.75">
      <c r="F1012" s="12"/>
    </row>
    <row r="1013" spans="6:6" ht="12.75">
      <c r="F1013" s="12"/>
    </row>
    <row r="1014" spans="6:6" ht="12.75">
      <c r="F1014" s="12"/>
    </row>
    <row r="1015" spans="6:6" ht="12.75">
      <c r="F1015" s="12"/>
    </row>
    <row r="1016" spans="6:6" ht="12.75">
      <c r="F1016" s="12"/>
    </row>
    <row r="1017" spans="6:6" ht="12.75">
      <c r="F1017" s="12"/>
    </row>
    <row r="1018" spans="6:6" ht="12.75">
      <c r="F1018" s="12"/>
    </row>
    <row r="1019" spans="6:6" ht="12.75">
      <c r="F1019" s="12"/>
    </row>
    <row r="1020" spans="6:6" ht="12.75">
      <c r="F1020" s="12"/>
    </row>
    <row r="1021" spans="6:6" ht="12.75">
      <c r="F1021" s="12"/>
    </row>
    <row r="1022" spans="6:6" ht="12.75">
      <c r="F1022" s="12"/>
    </row>
    <row r="1023" spans="6:6" ht="12.75">
      <c r="F1023" s="12"/>
    </row>
    <row r="1024" spans="6:6" ht="12.75">
      <c r="F1024" s="12"/>
    </row>
    <row r="1025" spans="6:6" ht="12.75">
      <c r="F1025" s="12"/>
    </row>
    <row r="1026" spans="6:6" ht="12.75">
      <c r="F1026" s="12"/>
    </row>
    <row r="1027" spans="6:6" ht="12.75">
      <c r="F1027" s="12"/>
    </row>
    <row r="1028" spans="6:6" ht="12.75">
      <c r="F1028" s="12"/>
    </row>
    <row r="1029" spans="6:6" ht="12.75">
      <c r="F1029" s="12"/>
    </row>
    <row r="1030" spans="6:6" ht="12.75">
      <c r="F1030" s="12"/>
    </row>
    <row r="1031" spans="6:6" ht="12.75">
      <c r="F1031" s="12"/>
    </row>
    <row r="1032" spans="6:6" ht="12.75">
      <c r="F1032" s="12"/>
    </row>
    <row r="1033" spans="6:6" ht="12.75">
      <c r="F1033" s="12"/>
    </row>
    <row r="1034" spans="6:6" ht="12.75">
      <c r="F1034" s="12"/>
    </row>
    <row r="1035" spans="6:6" ht="12.75">
      <c r="F1035" s="12"/>
    </row>
    <row r="1036" spans="6:6" ht="12.75">
      <c r="F1036" s="12"/>
    </row>
    <row r="1037" spans="6:6" ht="12.75">
      <c r="F1037" s="12"/>
    </row>
    <row r="1038" spans="6:6" ht="12.75">
      <c r="F1038" s="12"/>
    </row>
    <row r="1039" spans="6:6" ht="12.75">
      <c r="F1039" s="12"/>
    </row>
    <row r="1040" spans="6:6" ht="12.75">
      <c r="F1040" s="12"/>
    </row>
    <row r="1041" spans="6:6" ht="12.75">
      <c r="F1041" s="12"/>
    </row>
  </sheetData>
  <mergeCells count="5">
    <mergeCell ref="B2:F2"/>
    <mergeCell ref="B3:B4"/>
    <mergeCell ref="C3:D3"/>
    <mergeCell ref="E3:E4"/>
    <mergeCell ref="F3:F4"/>
  </mergeCells>
  <printOptions horizontalCentered="1"/>
  <pageMargins left="0.7" right="0.7" top="0.75" bottom="0.75" header="0" footer="0"/>
  <pageSetup paperSize="8" fitToWidth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SIMULADOR TPC</vt:lpstr>
      <vt:lpstr>CÁLCULO DE INCIDENCIAS EMISORES</vt:lpstr>
      <vt:lpstr>INCIDENCIAS DISTRITO RECEPTOR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Del Val</cp:lastModifiedBy>
  <dcterms:modified xsi:type="dcterms:W3CDTF">2026-06-18T14:12:12Z</dcterms:modified>
</cp:coreProperties>
</file>